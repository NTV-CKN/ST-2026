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040" windowHeight="9000" activeTab="1"/>
  </bookViews>
  <sheets>
    <sheet name="TestDesign" sheetId="1" r:id="rId1"/>
    <sheet name="Add-DeliveryAddress" sheetId="4" r:id="rId2"/>
    <sheet name="Tìm kiếm nâng cao (lọ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<sst xmlns="http://schemas.openxmlformats.org/spreadsheetml/2006/main" count="431" uniqueCount="282">
  <si>
    <t>Requirement Level 1</t>
  </si>
  <si>
    <t>Requirement Level 2</t>
  </si>
  <si>
    <t>Requirement Level 3</t>
  </si>
  <si>
    <t>Test Criteria</t>
  </si>
  <si>
    <t>Test Type</t>
  </si>
  <si>
    <t>Note</t>
  </si>
  <si>
    <t>3.1. Địa chỉ giao hàng của người dùng</t>
  </si>
  <si>
    <t>3.1.1. Thêm địa chỉ giao hàng</t>
  </si>
  <si>
    <t>Thêm thành công</t>
  </si>
  <si>
    <t>Check thêm địa chỉ giao hàng với đầy đủ các trường dữ liệu</t>
  </si>
  <si>
    <t>Function</t>
  </si>
  <si>
    <t>Bỏ trống dữ liệu</t>
  </si>
  <si>
    <t>Check thêm địa chỉ giao hàng khi không nhập trường dữ liệu nào</t>
  </si>
  <si>
    <t>Trường Họ và tên</t>
  </si>
  <si>
    <t>Check thêm địa chỉ giao hàng chỉ với trường Họ và tên</t>
  </si>
  <si>
    <t>Đối chiếu yêu cầu để xác định trường nào bắt buộc</t>
  </si>
  <si>
    <t>Check thêm địa chỉ giao hàng với đầy đủ các trường nhưng bỏ Họ và tên</t>
  </si>
  <si>
    <t>Trường Số điện thoại</t>
  </si>
  <si>
    <t>Check thêm địa chỉ giao hàng chỉ với trường Số điện thoại</t>
  </si>
  <si>
    <t>Check thêm địa chỉ giao hàng với đầy đủ các trường nhưng bỏ Số điện thoại</t>
  </si>
  <si>
    <t>Check Số điện thoại sai định dạng</t>
  </si>
  <si>
    <t>Check từng trường hợp: sai số lượng số, có chữ, có ký tự đặc biệt</t>
  </si>
  <si>
    <t>Trường Tỉnh/Thành phố</t>
  </si>
  <si>
    <t>Check thêm địa chỉ giao hàng chỉ với trường Tỉnh/Thành phố</t>
  </si>
  <si>
    <t>Check thêm địa chỉ giao hàng với đầy đủ các trường nhưng bỏ Tỉnh/Thành phố</t>
  </si>
  <si>
    <t>Trường Địa chỉ chi tiết</t>
  </si>
  <si>
    <t>Check thêm địa chỉ giao hàng chỉ với trường Địa chỉ chi tiết</t>
  </si>
  <si>
    <t>Check thêm địa chỉ giao hàng với đầy đủ các trường nhưng bỏ Địa chỉ chi tiết</t>
  </si>
  <si>
    <t>Hủy thao tác</t>
  </si>
  <si>
    <t>Check nhấn "Trở lại" khi đã nhập đầy đủ thông tin (không nhấn "Hoàn thành")</t>
  </si>
  <si>
    <t>3.1.2. Cập nhật địa chỉ giao hàng</t>
  </si>
  <si>
    <t>Cập nhật thành công</t>
  </si>
  <si>
    <t>Check cập nhật tất cả các trường dữ liệu</t>
  </si>
  <si>
    <t>Không thay đổi dữ liệu</t>
  </si>
  <si>
    <t>Check cập nhật khi không thay đổi nội dung nào</t>
  </si>
  <si>
    <t>Cập nhật từng trường</t>
  </si>
  <si>
    <t>Check chỉ cập nhật trường Họ và tên</t>
  </si>
  <si>
    <t>Các trường khác giữ nguyên</t>
  </si>
  <si>
    <t>Check chỉ cập nhật trường Số điện thoại</t>
  </si>
  <si>
    <t>Check chỉ cập nhật trường Tỉnh/Thành phố</t>
  </si>
  <si>
    <t>Check chỉ cập nhật trường Địa chỉ chi tiết</t>
  </si>
  <si>
    <t>3.1.3. Xóa địa chỉ giao hàng</t>
  </si>
  <si>
    <t>Xác nhận xóa</t>
  </si>
  <si>
    <t>Check xóa địa chỉ giao hàng và nhấn "OK" trên hộp thoại xác nhận</t>
  </si>
  <si>
    <t>Check xóa địa chỉ giao hàng và nhấn "Cancel" trên hộp thoại xác nhận</t>
  </si>
  <si>
    <t>3.2. Tìm kiếm nâng cao (lọc)</t>
  </si>
  <si>
    <t>3.2.1. Giao diện bộ lọc</t>
  </si>
  <si>
    <t>Hiển thị mặc định</t>
  </si>
  <si>
    <t>Check giao diện và giá trị mặc định của bộ lọc khi vào trang kết quả tìm kiếm</t>
  </si>
  <si>
    <t>GUI</t>
  </si>
  <si>
    <t>Các lựa chọn của bộ lọc</t>
  </si>
  <si>
    <t>Check các lựa chọn của 4 danh sách Khoảng giá, Danh mục, Sắp xếp, Đánh giá</t>
  </si>
  <si>
    <t>3.2.2. Lọc theo khoảng giá</t>
  </si>
  <si>
    <t>Từng khoảng giá</t>
  </si>
  <si>
    <t>Check lọc theo khoảng giá "Dưới 100.000đ"</t>
  </si>
  <si>
    <t>Check lọc theo khoảng giá "100.000đ - 300.000đ"</t>
  </si>
  <si>
    <t>Check lọc theo khoảng giá "300.000đ - 500.000đ"</t>
  </si>
  <si>
    <t>Check lọc theo khoảng giá "500.000đ - 1.000.000đ"</t>
  </si>
  <si>
    <t>Check lọc theo khoảng giá "Trên 1.000.000đ"</t>
  </si>
  <si>
    <t>Giá tại mốc</t>
  </si>
  <si>
    <t>Check lọc sản phẩm có giá đúng bằng mốc giữa hai khoảng giá</t>
  </si>
  <si>
    <t>Đối chiếu yêu cầu để xác định mốc thuộc khoảng nào</t>
  </si>
  <si>
    <t>Không có kết quả</t>
  </si>
  <si>
    <t>Check lọc theo khoảng giá không có sản phẩm phù hợp</t>
  </si>
  <si>
    <t>3.2.3. Lọc theo danh mục</t>
  </si>
  <si>
    <t>Danh mục con</t>
  </si>
  <si>
    <t>Check lọc theo một danh mục con</t>
  </si>
  <si>
    <t>Danh mục cha</t>
  </si>
  <si>
    <t>Check lọc theo danh mục cha</t>
  </si>
  <si>
    <t>Đối chiếu yêu cầu: danh mục cha có bao gồm sản phẩm của danh mục con không</t>
  </si>
  <si>
    <t>3.2.4. Sắp xếp kết quả</t>
  </si>
  <si>
    <t>Sắp xếp theo giá</t>
  </si>
  <si>
    <t>Check sắp xếp theo "Giá tăng dần"</t>
  </si>
  <si>
    <t>Check sắp xếp theo "Giá giảm dần"</t>
  </si>
  <si>
    <t>Sắp xếp theo thời gian</t>
  </si>
  <si>
    <t>Check sắp xếp theo "Mới nhất"</t>
  </si>
  <si>
    <t>3.2.5. Lọc theo đánh giá</t>
  </si>
  <si>
    <t>Theo mức sao</t>
  </si>
  <si>
    <t>Check lọc theo đánh giá "5 sao"</t>
  </si>
  <si>
    <t>Check lọc theo đánh giá "4 sao trở lên"</t>
  </si>
  <si>
    <t>Check lọc theo đánh giá "1 sao trở lên"</t>
  </si>
  <si>
    <t>3.2.6. Kết hợp bộ lọc</t>
  </si>
  <si>
    <t>Kết hợp 2 bộ lọc</t>
  </si>
  <si>
    <t>Check kết hợp khoảng giá và danh mục</t>
  </si>
  <si>
    <t>Check kết hợp khoảng giá và sắp xếp</t>
  </si>
  <si>
    <t>Check kết hợp danh mục và đánh giá</t>
  </si>
  <si>
    <t>Kết hợp 4 bộ lọc</t>
  </si>
  <si>
    <t>Check kết hợp đồng thời khoảng giá, danh mục, sắp xếp và đánh giá</t>
  </si>
  <si>
    <t>Check kết hợp bộ lọc không có sản phẩm thỏa điều kiện</t>
  </si>
  <si>
    <t>Từ khóa tìm kiếm</t>
  </si>
  <si>
    <t>Check từ khóa tìm kiếm được giữ nguyên sau khi lọc</t>
  </si>
  <si>
    <t>Check dùng bộ lọc khi từ khóa không có kết quả</t>
  </si>
  <si>
    <t>Module Code</t>
  </si>
  <si>
    <t>[Add-DeliveryAddress]
[Update-DeliveryAddress]
[Delete-DeliveryAddress]</t>
  </si>
  <si>
    <t>Test requirement</t>
  </si>
  <si>
    <t>Tester</t>
  </si>
  <si>
    <t>Phan Văn Thi</t>
  </si>
  <si>
    <t>Passed</t>
  </si>
  <si>
    <t>Failed</t>
  </si>
  <si>
    <t>Untested</t>
  </si>
  <si>
    <t>Blocked</t>
  </si>
  <si>
    <t>Skipped</t>
  </si>
  <si>
    <t>Number of Test cases</t>
  </si>
  <si>
    <t/>
  </si>
  <si>
    <t>ID</t>
  </si>
  <si>
    <t>Test Case Description</t>
  </si>
  <si>
    <t>Test Case Procedure</t>
  </si>
  <si>
    <t>Expected Output</t>
  </si>
  <si>
    <t>Inter-test case Dependence</t>
  </si>
  <si>
    <t>Result</t>
  </si>
  <si>
    <t>Test date</t>
  </si>
  <si>
    <t>[Add-DeliveryAddress-1]</t>
  </si>
  <si>
    <t>Thêm địa chỉ giao hàng với nội dung đầy đủ</t>
  </si>
  <si>
    <t>Pre-condition:
+ Đăng nhập thành công
Step:
1. Click vào avatar/username góc trên bên phải để vào trang hồ sơ
2. Trong sidebar bên phải chọn "Địa chỉ" -&gt; Chọn "Thêm địa chỉ mới"
3. Nhập đầy đủ các trường thông tin: Họ và tên, Số điện thoại, Tỉnh/Thành, Địa chỉ chi tiết.
4. Nhấn "Hoàn thành".</t>
  </si>
  <si>
    <t>Thông tin địa chỉ giao hàng đã thêm được hiển thị ở danh sách địa chỉ giao hàng với đúng các trường dữ liệu đã nhập</t>
  </si>
  <si>
    <t>23/10/2026</t>
  </si>
  <si>
    <t>[Add-DeleveryAddress-2]</t>
  </si>
  <si>
    <t>Thêm địa chỉ giao hàng mới nội dung trông (các trường dữ liệu không điền gì)</t>
  </si>
  <si>
    <t>Pre-condition:
+ Đăng nhập thành công
Step:
1. Click vào avatar/username góc trên bên phải để vào trang hồ sơ
2. Trong sidebar bên phải chọn "Địa chỉ" -&gt; Chọn "Thêm địa chỉ mới"
3. Không nhập nội dung vào các trường dữ liệu
4. Nhấn "Hoàn thành".</t>
  </si>
  <si>
    <t>Trang hiển thị thông báo cần nhập các trường nội dung bắt buộc.</t>
  </si>
  <si>
    <t>[Add-DeleveryAddress-3]</t>
  </si>
  <si>
    <t>Thêm địa chỉ giao hàng chỉ với 1 trường dữ liệu là "Họ và tên"</t>
  </si>
  <si>
    <t>Pre-condition:
+ Đăng nhập thành công
Step:
1. Click vào avatar/username góc trên bên phải để vào trang hồ sơ
2. Trong sidebar bên phải chọn "Địa chỉ" -&gt; Chọn "Thêm địa chỉ mới"
3. Chỉ nhập nội dung trong trường "Họ và tên"
4. Nhấn "Hoàn thành".</t>
  </si>
  <si>
    <t>[Add-DeliveryAddress-4]</t>
  </si>
  <si>
    <t>Thêm địa chỉ giao hàng với đầy đủ trường dữ liệu nhưng bỏ "Họ và tên"</t>
  </si>
  <si>
    <t>Pre-condition:
+ Đăng nhập thành công
Step:
1. Click vào avatar/username góc trên bên phải để vào trang hồ sơ
2. Trong sidebar bên phải chọn "Địa chỉ" -&gt; Chọn "Thêm địa chỉ mới"
3. Chỉ nhập các trường thông tin: Số điện thoại, Tỉnh/Thành, Địa chỉ chi tiết.
4. Nhấn "Hoàn thành".</t>
  </si>
  <si>
    <t>[Add-DeliveryAddress-5]</t>
  </si>
  <si>
    <t>Thêm địa chỉ giao hàng chỉ với 1 trường dữ liệu là "Số điện thoại"</t>
  </si>
  <si>
    <t>Pre-condition:
+ Đăng nhập thành công
Step:
1. Click vào avatar/username góc trên bên phải để vào trang hồ sơ
2. Trong sidebar bên phải chọn "Địa chỉ" -&gt; Chọn "Thêm địa chỉ mới"
3. Chỉ nhập nội dung trong trường "Số điện thoại"
4. Nhấn "Hoàn thành".</t>
  </si>
  <si>
    <t>Thông tin địa chỉ giao hàng đã thêm được hiển thị ở danh sách địa chỉ giao hàng nhưng chỉ hiển thị đúng trường dữ liệu "Số điện thoại" đã nhập</t>
  </si>
  <si>
    <t>[Add-DeliveryAddress-6]</t>
  </si>
  <si>
    <t>Thêm địa chỉ giao hàng với đầy đủ trường dữ liệu nhưng bỏ "Số điện thoại"</t>
  </si>
  <si>
    <t>Pre-condition:
+ Đăng nhập thành công
Step:
1. Click vào avatar/username góc trên bên phải để vào trang hồ sơ
2. Trong sidebar bên phải chọn "Địa chỉ" -&gt; Chọn "Thêm địa chỉ mới"
3. Chỉ nhập các trường thông tin: Họ và tên, Tỉnh/Thành, Địa chỉ chi tiết.
4. Nhấn "Hoàn thành".</t>
  </si>
  <si>
    <t>Failsed</t>
  </si>
  <si>
    <t>[Add-DeliveryAddress-7]</t>
  </si>
  <si>
    <t>Thêm địa chỉ giao hàng nhưng với trường "Số điện thoại" không đúng định dang (số lượng số chưa đúng, dữ liệu có text, ký tự đặc biệt)</t>
  </si>
  <si>
    <t>Pre-condition:
+ Đăng nhập thành công
Step:
1. Click vào avatar/username góc trên bên phải để vào trang hồ sơ
2. Trong sidebar bên phải chọn "Địa chỉ" -&gt; Chọn "Thêm địa chỉ mới"
3. Nhập đầy đủ các trường thông tin: Họ và tên, Số điện thoại, Tỉnh/Thành, Địa chỉ chi tiết. Nhưng "Số điện thoại" nhập sai định dạng
4. Nhấn "Hoàn thành".</t>
  </si>
  <si>
    <t>Bên dưới trường "Số điện thoại" hiện thông báo nhập sai định dạng, yêu cầu nhập lại</t>
  </si>
  <si>
    <t>[Add-DeliveryAddress-8]</t>
  </si>
  <si>
    <t>Thêm địa chỉ giao hàng chỉ với Tỉnh/Thành phố</t>
  </si>
  <si>
    <t>Pre-condition:
+ Đăng nhập thành công
Step:
1. Click vào avatar/username góc trên bên phải để vào trang hồ sơ
2. Trong sidebar bên phải chọn "Địa chỉ" -&gt; Chọn "Thêm địa chỉ mới"
3. Chỉ chọn nội dung Tỉnh/Thành phố
4. Nhấn "Hoàn thành".</t>
  </si>
  <si>
    <t>[Add-DeliveryAddress-9]</t>
  </si>
  <si>
    <t>Thêm địa chỉ giao hàng với đầy đủ trường dữ liệu nhưng bỏ "Tỉnh/Thành phố"</t>
  </si>
  <si>
    <t>Pre-condition:
+ Đăng nhập thành công
Step:
1. Click vào avatar/username góc trên bên phải để vào trang hồ sơ
2. Trong sidebar bên phải chọn "Địa chỉ" -&gt; Chọn "Thêm địa chỉ mới"
3. Chỉ nhập các trường thông tin: Họ và tên, Số điện thoai, Địa chỉ chi tiết.
4. Nhấn "Hoàn thành".</t>
  </si>
  <si>
    <t>[Add-DeliveryAddress-10]</t>
  </si>
  <si>
    <t>Thêm địa chỉ giao hàng chỉ với Địa chỉ chi tiết</t>
  </si>
  <si>
    <t>Pre-condition:
+ Đăng nhập thành công
Step:
1. Click vào avatar/username góc trên bên phải để vào trang hồ sơ
2. Trong sidebar bên phải chọn "Địa chỉ" -&gt; Chọn "Thêm địa chỉ mới"
3. Chỉ điền nội dùng "Địa chỉ chi tiết"
4. Nhấn "Hoàn thành".</t>
  </si>
  <si>
    <t>[Add-DeliveryAddress-11]</t>
  </si>
  <si>
    <t>Thêm địa chỉ giao hàng với đầy đủ trường dữ liệu nhưng bỏ "Địa chỉ chi tiết"</t>
  </si>
  <si>
    <t>Pre-condition:
+ Đăng nhập thành công
Step:
1. Click vào avatar/username góc trên bên phải để vào trang hồ sơ
2. Trong sidebar bên phải chọn "Địa chỉ" -&gt; Chọn "Thêm địa chỉ mới"
3. Chỉ nhập các trường thông tin: Họ và tên, Số điện thoai, Tỉnh/Thành phố
4. Nhấn "Hoàn thành".</t>
  </si>
  <si>
    <t>[Add-DeliveryAddress-12]</t>
  </si>
  <si>
    <t>Thêm địa chỉ giao hàng với đầy đủ các trường thông tin nhưng không nhấn "Hoàn thành" mà nhấn "Trở lại"</t>
  </si>
  <si>
    <t>Pre-condition:
+ Đăng nhập thành công
Step:
1. Click vào avatar/username góc trên bên phải để vào trang hồ sơ
2. Trong sidebar bên phải chọn "Địa chỉ" -&gt; Chọn "Thêm địa chỉ mới"
3. Nhập đầy đủ các trường thông tin
4. Nhấn "Trở lại".</t>
  </si>
  <si>
    <t>Thông tin địa chỉ giao hàng không được thêm và không hiển thị ngoài danh sách</t>
  </si>
  <si>
    <t>[Update-DeliveryAddress-1]</t>
  </si>
  <si>
    <t>Cập nhật địa chỉ giao hàng với tất cả các trường dữ liệu</t>
  </si>
  <si>
    <t>Pre-condition:
+ Đăng nhập thành công
+ Đã thêm địa chỉ giao hàng thành công
Step:
1. Click vào avatar/username góc trên bên phải để vào trang hồ sơ
2. Trong sidebar bên phải chọn "Địa chỉ" -&gt; Chọn "Cập nhật"
3. Nhập lại đầy đủ các trường thông tin mới
4. Nhấn "Hoàn thành".</t>
  </si>
  <si>
    <t>Thông tin địa chỉ giao hàng được cập nhật thành công và hiển thị ngoài danh sách với đúng nội dung những gì đã cập nhật</t>
  </si>
  <si>
    <t>Add-DeliveryAddress-1</t>
  </si>
  <si>
    <t>[Update-DeliveryAddress-2]</t>
  </si>
  <si>
    <t>Cập nhật địa chỉ giao hàng nhưng không thay đổi nội dung gì</t>
  </si>
  <si>
    <t>Pre-condition:
+ Đăng nhập thành công
+ Đã thêm địa chỉ giao hàng thành công
Step:
1. Click vào avatar/username góc trên bên phải để vào trang hồ sơ
2. Trong sidebar bên phải chọn "Địa chỉ" -&gt; Chọn "Cập nhật"
3. Không sửa lại nội dung gì
4. Nhấn "Hoàn thành".</t>
  </si>
  <si>
    <t>Thông tin địa chỉ giao hàng vẫn như cũ.</t>
  </si>
  <si>
    <t>[Update-DeliveryAddress-3]</t>
  </si>
  <si>
    <t>Cập nhật địa chỉ giao hàng chỉ với trường Họ và tên, các trường khác giữ nguyên.</t>
  </si>
  <si>
    <t>Pre-condition:
+ Đăng nhập thành công
+ Đã thêm địa chỉ giao hàng thành công
Step:
1. Click vào avatar/username góc trên bên phải để vào trang hồ sơ
2. Trong sidebar bên phải chọn "Địa chỉ" -&gt; Chọn "Cập nhật"
3. Chỉ sửa lại nội dung trường Họ và tên
4. Nhấn "Hoàn thành".</t>
  </si>
  <si>
    <t>[Update-DeliveryAddress-4]</t>
  </si>
  <si>
    <t>Cập nhật địa chỉ giao hàng chỉ với trường Số điện thoại, các trường khác giữ nguyên.</t>
  </si>
  <si>
    <t>Pre-condition:
+ Đăng nhập thành công
+ Đã thêm địa chỉ giao hàng thành công
Step:
1. Click vào avatar/username góc trên bên phải để vào trang hồ sơ
2. Trong sidebar bên phải chọn "Địa chỉ" -&gt; Chọn "Cập nhật"
3. Chỉ sửa lại nội dung trường Số điện thoại
4. Nhấn "Hoàn thành".</t>
  </si>
  <si>
    <t>[Update-DeliveryAddress-5]</t>
  </si>
  <si>
    <t>Cập nhật địa chỉ giao hàng chỉ với trường Tỉnh/Thành , các trường khác giữ nguyên.</t>
  </si>
  <si>
    <t>Pre-condition:
+ Đăng nhập thành công
+ Đã thêm địa chỉ giao hàng thành công
Step:
1. Click vào avatar/username góc trên bên phải để vào trang hồ sơ
2. Trong sidebar bên phải chọn "Địa chỉ" -&gt; Chọn "Cập nhật"
3. Chỉ sửa lại nội dung trường Tỉnh/Thành phố
4. Nhấn "Hoàn thành".</t>
  </si>
  <si>
    <t>[Update-DeliveryAddress-6]</t>
  </si>
  <si>
    <t>Cập nhật địa chỉ giao hàng chỉ với trường Địa chỉ chi tiết, các trường khác giữ nguyên.</t>
  </si>
  <si>
    <t>Pre-condition:
+ Đăng nhập thành công
+ Đã thêm địa chỉ giao hàng thành công
Step:
1. Click vào avatar/username góc trên bên phải để vào trang hồ sơ
2. Trong sidebar bên phải chọn "Địa chỉ" -&gt; Chọn "Cập nhật"
3. Chỉ sửa lại nội dung trường Địa chỉ chi tiết
4. Nhấn "Hoàn thành".</t>
  </si>
  <si>
    <t>[Delete-DeliveryAddress-1]</t>
  </si>
  <si>
    <t>Xóa địa chỉ giao hàng</t>
  </si>
  <si>
    <t>Pre-condition:
+ Đăng nhập thành công
+ Đã thêm địa chỉ giao hàng thành công
Step:
1. Click vào avatar/username góc trên bên phải để vào trang hồ sơ
2. Trong sidebar bên phải chọn "Địa chỉ" -&gt; Chọn "Xóa"
3. Khi hộp thoại thông báo xác nhận hiện ra nhấn "Ok"</t>
  </si>
  <si>
    <t>Địa chỉ giao hàng được xóa thành công và biến mất khỏi danh sách địa chỉ.</t>
  </si>
  <si>
    <t>[Delete-DeliveryAddress-2]</t>
  </si>
  <si>
    <t>Xóa địa chỉ giao hàng nhưng không xác nhận</t>
  </si>
  <si>
    <t>Pre-condition:
+ Đăng nhập thành công
+ Đã thêm địa chỉ giao hàng thành công
Step:
1. Click vào avatar/username góc trên bên phải để vào trang hồ sơ
2. Trong sidebar bên phải chọn "Địa chỉ" -&gt; Chọn "Xóa"
3. Khi hộp thoại thông báo xác nhận hiện ra nhấn "Cancel"</t>
  </si>
  <si>
    <t>Địa chỉ giao hàng vẫn còn với nội dung như cũ.</t>
  </si>
  <si>
    <t>[Filter-GUI]
[Filter-Price]
[Filter-Category]
[Filter-Sort]
[Filter-Rating]
[Filter-Combine]</t>
  </si>
  <si>
    <t>[Filter-GUI-1]</t>
  </si>
  <si>
    <t>Kiểm tra giao diện và giá trị mặc định của bộ lọc sau khi tìm kiếm</t>
  </si>
  <si>
    <t>Pre-condition:
+ Truy cập được website (localhost:8080)
+ Có sản phẩm khớp với từ khóa "chuột"
Step:
1. Nhập từ khóa "chuột" vào ô "Tìm kiếm sản phẩm..." và nhấn biểu tượng tìm kiếm</t>
  </si>
  <si>
    <t>Trang "Kết quả tìm kiếm" hiển thị dòng Từ khóa: "chuột" và khung "Bộ Lọc Sản Phẩm" gồm 4 danh sách chọn: Khoảng giá, Danh mục, Sắp xếp, Đánh giá cùng nút "Lọc". Giá trị mặc định lần lượt là: Tất cả, Tất cả, Mặc định, Tất cả</t>
  </si>
  <si>
    <t>[Filter-GUI-2]</t>
  </si>
  <si>
    <t>Kiểm tra các lựa chọn của 4 danh sách: Khoảng giá, Danh mục, Sắp xếp, Đánh giá</t>
  </si>
  <si>
    <t>Pre-condition:
+ Truy cập được website (localhost:8080)
+ Có sản phẩm khớp với từ khóa "chuột"
Step:
1. Nhập từ khóa "chuột" vào ô "Tìm kiếm sản phẩm..." và nhấn biểu tượng tìm kiếm
2. Lần lượt click mở từng danh sách "Khoảng giá", "Danh mục", "Sắp xếp", "Đánh giá" và xem các lựa chọn</t>
  </si>
  <si>
    <t>Khoảng giá: Tất cả, Dưới 100.000đ, 100.000đ - 300.000đ, 300.000đ - 500.000đ, 500.000đ - 1.000.000đ, Trên 1.000.000đ.
Sắp xếp: Mặc định, Giá tăng dần, Giá giảm dần, Mới nhất.
Đánh giá: Tất cả, 5 sao, 4 sao trở lên, 3 sao trở lên, 2 sao trở lên, 1 sao trở lên.
Danh mục: Tất cả và các danh mục cha, danh mục con thụt vào bên dưới danh mục cha tương ứng: Phụ Kiện Máy Tính (Chuột Máy Tính, Bàn Phím, Túi Chống Sốc); Phụ Kiện Điện Thoại (Củ sạc, Ốp Lưng, Sạc Dự Phòng); Dây Cáp Tín Hiệu (Cáp HDMI, Cáp VGA); Bộ Chia Tín Hiệu (Bộ Chia AV, Bộ Chia VGA); Phụ Kiện Xe (Phụ Kiện Xe Đạp, Phụ Kiện Ô Tô); Thiết Bị Mạng (Máy Test Mạng, Dây Cáp Mạng); Thiết Bị Ngoại Vi (Phụ Kiện Đàn Ghi-ta, Thiết Bị Nhập Cảm Biến); Bộ Chuyển Đổi Tín Hiệu (Chuyển Đổi HDMI, Chuyển Đổi VGA)</t>
  </si>
  <si>
    <t>[Filter-Price-1]</t>
  </si>
  <si>
    <t>Lọc kết quả tìm kiếm theo khoảng giá "Dưới 100.000đ"</t>
  </si>
  <si>
    <t>Pre-condition:
+ Truy cập được website (localhost:8080)
+ Có sản phẩm khớp với từ khóa "chuột"
Step:
1. Nhập từ khóa "chuột" vào ô "Tìm kiếm sản phẩm..." và nhấn biểu tượng tìm kiếm
2. Tại "Khoảng giá" chọn "Dưới 100.000đ"
3. Nhấn nút "Lọc"</t>
  </si>
  <si>
    <t>Danh sách chỉ hiển thị các sản phẩm chứa từ khóa "chuột" và có giá nhỏ hơn 100.000đ</t>
  </si>
  <si>
    <t>[Filter-Price-2]</t>
  </si>
  <si>
    <t>Lọc kết quả tìm kiếm theo khoảng giá "100.000đ - 300.000đ"</t>
  </si>
  <si>
    <t>Pre-condition:
+ Truy cập được website (localhost:8080)
+ Có sản phẩm khớp với từ khóa "chuột"
Step:
1. Nhập từ khóa "chuột" vào ô "Tìm kiếm sản phẩm..." và nhấn biểu tượng tìm kiếm
2. Tại "Khoảng giá" chọn "100.000đ - 300.000đ"
3. Nhấn nút "Lọc"</t>
  </si>
  <si>
    <t>Danh sách chỉ hiển thị các sản phẩm chứa từ khóa "chuột" và có giá trong khoảng từ 100.000đ đến 300.000đ</t>
  </si>
  <si>
    <t>[Filter-Price-3]</t>
  </si>
  <si>
    <t>Lọc kết quả tìm kiếm theo khoảng giá "300.000đ - 500.000đ"</t>
  </si>
  <si>
    <t>Pre-condition:
+ Truy cập được website (localhost:8080)
+ Có sản phẩm khớp với từ khóa "chuột"
Step:
1. Nhập từ khóa "chuột" vào ô "Tìm kiếm sản phẩm..." và nhấn biểu tượng tìm kiếm
2. Tại "Khoảng giá" chọn "300.000đ - 500.000đ"
3. Nhấn nút "Lọc"</t>
  </si>
  <si>
    <t>Danh sách chỉ hiển thị các sản phẩm chứa từ khóa "chuột" và có giá trong khoảng từ 300.000đ đến 500.000đ</t>
  </si>
  <si>
    <t>[Filter-Price-4]</t>
  </si>
  <si>
    <t>Lọc kết quả tìm kiếm theo khoảng giá "500.000đ - 1.000.000đ"</t>
  </si>
  <si>
    <t>Pre-condition:
+ Truy cập được website (localhost:8080)
+ Có sản phẩm khớp với từ khóa "chuột"
Step:
1. Nhập từ khóa "chuột" vào ô "Tìm kiếm sản phẩm..." và nhấn biểu tượng tìm kiếm
2. Tại "Khoảng giá" chọn "500.000đ - 1.000.000đ"
3. Nhấn nút "Lọc"</t>
  </si>
  <si>
    <t>Danh sách chỉ hiển thị các sản phẩm chứa từ khóa "chuột" và có giá trong khoảng từ 500.000đ đến 1.000.000đ</t>
  </si>
  <si>
    <t>[Filter-Price-5]</t>
  </si>
  <si>
    <t>Lọc kết quả tìm kiếm theo khoảng giá "Trên 1.000.000đ"</t>
  </si>
  <si>
    <t>Pre-condition:
+ Truy cập được website (localhost:8080)
+ Có sản phẩm khớp với từ khóa "chuột"
Step:
1. Nhập từ khóa "chuột" vào ô "Tìm kiếm sản phẩm..." và nhấn biểu tượng tìm kiếm
2. Tại "Khoảng giá" chọn "Trên 1.000.000đ"
3. Nhấn nút "Lọc"</t>
  </si>
  <si>
    <t>Danh sách chỉ hiển thị các sản phẩm chứa từ khóa "chuột" và có giá lớn hơn 1.000.000đ</t>
  </si>
  <si>
    <t>[Filter-Price-6]</t>
  </si>
  <si>
    <t>Lọc theo khoảng giá với sản phẩm có giá đúng bằng mốc giữa hai khoảng (ví dụ 100.000đ)</t>
  </si>
  <si>
    <t>Pre-condition:
+ Truy cập được website (localhost:8080)
+ Có sản phẩm khớp với từ khóa "chuột"
+ Có sản phẩm khớp từ khóa với giá đúng bằng mốc 100.000đ
Step:
1. Nhập từ khóa "chuột" vào ô "Tìm kiếm sản phẩm..." và nhấn biểu tượng tìm kiếm
2. Tại "Khoảng giá" chọn "Dưới 100.000đ", Nhấn nút "Lọc", ghi nhận kết quả
3. Tại "Khoảng giá" chọn "100.000đ - 300.000đ", Nhấn nút "Lọc", ghi nhận kết quả</t>
  </si>
  <si>
    <t>Sản phẩm có giá đúng 100.000đ chỉ xuất hiện ở một trong hai khoảng theo yêu cầu, không bị mất ở cả hai khoảng và không xuất hiện ở cả hai khoảng</t>
  </si>
  <si>
    <t>Cần chuẩn bị dữ liệu sản phẩm giá đúng mốc</t>
  </si>
  <si>
    <t>[Filter-Price-7]</t>
  </si>
  <si>
    <t>Lọc theo khoảng giá không có sản phẩm nào phù hợp</t>
  </si>
  <si>
    <t>Pre-condition:
+ Truy cập được website (localhost:8080)
+ Có sản phẩm khớp với từ khóa "chuột"
+ Có ít nhất một khoảng giá không có sản phẩm nào khớp với từ khóa "chuột"
Step:
1. Nhập từ khóa "chuột" vào ô "Tìm kiếm sản phẩm..." và nhấn biểu tượng tìm kiếm
2. Tại "Khoảng giá" chọn một khoảng giá không có sản phẩm nào khớp từ khóa (xác định trước theo dữ liệu)
3. Nhấn nút "Lọc"</t>
  </si>
  <si>
    <t>Không hiển thị sản phẩm nào, trang hiển thị thông báo không tìm thấy sản phẩm phù hợp và không bị lỗi</t>
  </si>
  <si>
    <t>Chọn khoảng giá phù hợp theo dữ liệu thực tế</t>
  </si>
  <si>
    <t>[Filter-Category-1]</t>
  </si>
  <si>
    <t>Lọc kết quả tìm kiếm theo danh mục con "Chuột Máy Tính"</t>
  </si>
  <si>
    <t>Pre-condition:
+ Truy cập được website (localhost:8080)
+ Có sản phẩm khớp với từ khóa "chuột"
Step:
1. Nhập từ khóa "chuột" vào ô "Tìm kiếm sản phẩm..." và nhấn biểu tượng tìm kiếm
2. Tại "Danh mục" chọn "Chuột Máy Tính"
3. Nhấn nút "Lọc"</t>
  </si>
  <si>
    <t>Danh sách chỉ hiển thị các sản phẩm chứa từ khóa "chuột" thuộc danh mục "Chuột Máy Tính"</t>
  </si>
  <si>
    <t>[Filter-Category-2]</t>
  </si>
  <si>
    <t>Lọc kết quả tìm kiếm theo danh mục cha "Phụ Kiện Máy Tính"</t>
  </si>
  <si>
    <t>Pre-condition:
+ Truy cập được website (localhost:8080)
+ Có sản phẩm khớp với từ khóa "chuột"
Step:
1. Nhập từ khóa "chuột" vào ô "Tìm kiếm sản phẩm..." và nhấn biểu tượng tìm kiếm
2. Tại "Danh mục" chọn "Phụ Kiện Máy Tính"
3. Nhấn nút "Lọc"</t>
  </si>
  <si>
    <t>Danh sách hiển thị các sản phẩm chứa từ khóa "chuột" thuộc "Phụ Kiện Máy Tính" và các danh mục con của nó (Chuột Máy Tính, Bàn Phím, Túi Chống Sốc)</t>
  </si>
  <si>
    <t>Đối chiếu yêu cầu về phạm vi của danh mục cha</t>
  </si>
  <si>
    <t>[Filter-Sort-1]</t>
  </si>
  <si>
    <t>Sắp xếp kết quả tìm kiếm theo "Giá tăng dần"</t>
  </si>
  <si>
    <t>Pre-condition:
+ Truy cập được website (localhost:8080)
+ Có sản phẩm khớp với từ khóa "chuột"
Step:
1. Nhập từ khóa "chuột" vào ô "Tìm kiếm sản phẩm..." và nhấn biểu tượng tìm kiếm
2. Tại "Sắp xếp" chọn "Giá tăng dần"
3. Nhấn nút "Lọc"</t>
  </si>
  <si>
    <t>Các sản phẩm được sắp xếp theo giá từ thấp đến cao</t>
  </si>
  <si>
    <t>[Filter-Sort-2]</t>
  </si>
  <si>
    <t>Sắp xếp kết quả tìm kiếm theo "Giá giảm dần"</t>
  </si>
  <si>
    <t>Pre-condition:
+ Truy cập được website (localhost:8080)
+ Có sản phẩm khớp với từ khóa "chuột"
Step:
1. Nhập từ khóa "chuột" vào ô "Tìm kiếm sản phẩm..." và nhấn biểu tượng tìm kiếm
2. Tại "Sắp xếp" chọn "Giá giảm dần"
3. Nhấn nút "Lọc"</t>
  </si>
  <si>
    <t>Các sản phẩm được sắp xếp theo giá từ cao đến thấp</t>
  </si>
  <si>
    <t>[Filter-Sort-3]</t>
  </si>
  <si>
    <t>Sắp xếp kết quả tìm kiếm theo "Mới nhất"</t>
  </si>
  <si>
    <t>Pre-condition:
+ Truy cập được website (localhost:8080)
+ Có sản phẩm khớp với từ khóa "chuột"
Step:
1. Nhập từ khóa "chuột" vào ô "Tìm kiếm sản phẩm..." và nhấn biểu tượng tìm kiếm
2. Tại "Sắp xếp" chọn "Mới nhất"
3. Nhấn nút "Lọc"</t>
  </si>
  <si>
    <t>Các sản phẩm được sắp xếp theo thứ tự mới thêm gần nhất lên đầu</t>
  </si>
  <si>
    <t>[Filter-Rating-1]</t>
  </si>
  <si>
    <t>Lọc kết quả tìm kiếm theo đánh giá "5 sao"</t>
  </si>
  <si>
    <t>Pre-condition:
+ Truy cập được website (localhost:8080)
+ Có sản phẩm khớp với từ khóa "chuột"
Step:
1. Nhập từ khóa "chuột" vào ô "Tìm kiếm sản phẩm..." và nhấn biểu tượng tìm kiếm
2. Tại "Đánh giá" chọn "5 sao"
3. Nhấn nút "Lọc"</t>
  </si>
  <si>
    <t>Danh sách chứa từ khóa "chuột" và chỉ hiển thị các sản phẩm có đánh giá 5 sao</t>
  </si>
  <si>
    <t>[Filter-Rating-2]</t>
  </si>
  <si>
    <t>Lọc kết quả tìm kiếm theo đánh giá "4 sao trở lên"</t>
  </si>
  <si>
    <t>Pre-condition:
+ Truy cập được website (localhost:8080)
+ Có sản phẩm khớp với từ khóa "chuột"
Step:
1. Nhập từ khóa "chuột" vào ô "Tìm kiếm sản phẩm..." và nhấn biểu tượng tìm kiếm
2. Tại "Đánh giá" chọn "4 sao trở lên"
3. Nhấn nút "Lọc"</t>
  </si>
  <si>
    <t>Danh sách chứa từ khóa "chuột" và hiển thị các sản phẩm có đánh giá từ 4 sao trở lên</t>
  </si>
  <si>
    <t>[Filter-Rating-3]</t>
  </si>
  <si>
    <t>Lọc kết quả tìm kiếm theo đánh giá "1 sao trở lên"</t>
  </si>
  <si>
    <t>Pre-condition:
+ Truy cập được website (localhost:8080)
+ Có sản phẩm khớp với từ khóa "chuột"
Step:
1. Nhập từ khóa "chuột" vào ô "Tìm kiếm sản phẩm..." và nhấn biểu tượng tìm kiếm
2. Tại "Đánh giá" chọn "1 sao trở lên"
3. Nhấn nút "Lọc"</t>
  </si>
  <si>
    <t>Danh sách chứa từ khóa "chuột" và hiển thị các sản phẩm có đánh giá từ 1 sao trở lên</t>
  </si>
  <si>
    <t>Đối chiếu yêu cầu: sản phẩm chưa có đánh giá có hiển thị hay không</t>
  </si>
  <si>
    <t>[Filter-Combine-1]</t>
  </si>
  <si>
    <t>Kết hợp lọc theo khoảng giá và danh mục</t>
  </si>
  <si>
    <t>Pre-condition:
+ Truy cập được website (localhost:8080)
+ Có sản phẩm khớp với từ khóa "chuột"
Step:
1. Nhập từ khóa "chuột" vào ô "Tìm kiếm sản phẩm..." và nhấn biểu tượng tìm kiếm
2. Tại "Khoảng giá" chọn "100.000đ - 300.000đ"
3. Tại "Danh mục" chọn "Chuột Máy Tính"
4. Nhấn nút "Lọc"</t>
  </si>
  <si>
    <t>Danh sách chỉ hiển thị các sản phẩm chứa từ khóa "chuột", thuộc danh mục "Chuột Máy Tính" và có giá từ 100.000đ đến 300.000đ</t>
  </si>
  <si>
    <t>[Filter-Combine-2]</t>
  </si>
  <si>
    <t>Kết hợp lọc theo khoảng giá và sắp xếp theo giá</t>
  </si>
  <si>
    <t>Pre-condition:
+ Truy cập được website (localhost:8080)
+ Có sản phẩm khớp với từ khóa "chuột"
Step:
1. Nhập từ khóa "chuột" vào ô "Tìm kiếm sản phẩm..." và nhấn biểu tượng tìm kiếm
2. Tại "Khoảng giá" chọn "300.000đ - 500.000đ"
3. Tại "Sắp xếp" chọn "Giá tăng dần"
4. Nhấn nút "Lọc"</t>
  </si>
  <si>
    <t>Danh sách chỉ hiển thị các sản phẩm có giá từ 300.000đ đến 500.000đ và được sắp xếp theo giá từ thấp đến cao</t>
  </si>
  <si>
    <t>[Filter-Combine-3]</t>
  </si>
  <si>
    <t>Kết hợp lọc theo danh mục và đánh giá</t>
  </si>
  <si>
    <t>Pre-condition:
+ Truy cập được website (localhost:8080)
+ Có sản phẩm khớp với từ khóa "chuột"
Step:
1. Nhập từ khóa "chuột" vào ô "Tìm kiếm sản phẩm..." và nhấn biểu tượng tìm kiếm
2. Tại "Danh mục" chọn "Chuột Máy Tính"
3. Tại "Đánh giá" chọn "4 sao trở lên"
4. Nhấn nút "Lọc"</t>
  </si>
  <si>
    <t>Danh sách chỉ hiển thị các sản phẩm thuộc danh mục "Chuột Máy Tính" và có đánh giá từ 4 sao trở lên</t>
  </si>
  <si>
    <t>[Filter-Combine-4]</t>
  </si>
  <si>
    <t>Kết hợp đồng thời cả 4 bộ lọc: khoảng giá, danh mục, sắp xếp, đánh giá</t>
  </si>
  <si>
    <t>Pre-condition:
+ Truy cập được website (localhost:8080)
+ Có sản phẩm khớp với từ khóa "chuột"
Step:
1. Nhập từ khóa "chuột" vào ô "Tìm kiếm sản phẩm..." và nhấn biểu tượng tìm kiếm
2. Tại "Khoảng giá" chọn "100.000đ - 300.000đ"
3. Tại "Danh mục" chọn "Chuột Máy Tính"
4. Tại "Sắp xếp" chọn "Giá giảm dần"
5. Tại "Đánh giá" chọn "3 sao trở lên"
6. Nhấn nút "Lọc"</t>
  </si>
  <si>
    <t>Danh sách chỉ hiển thị các sản phẩm thỏa đồng thời: thuộc "Chuột Máy Tính", giá từ 100.000đ đến 300.000đ, đánh giá từ 3 sao trở lên và được sắp xếp theo giá từ cao đến thấp</t>
  </si>
  <si>
    <t>[Filter-Combine-5]</t>
  </si>
  <si>
    <t>Kết hợp các bộ lọc nhưng không có sản phẩm nào thỏa điều kiện</t>
  </si>
  <si>
    <t>Pre-condition:
+ Truy cập được website (localhost:8080)
+ Có sản phẩm khớp với từ khóa "chuột"
Step:
1. Nhập từ khóa "chuột" vào ô "Tìm kiếm sản phẩm..." và nhấn biểu tượng tìm kiếm
2. Tại "Danh mục" chọn "Bộ Chia VGA"
3. Tại "Khoảng giá" chọn "Dưới 100.000đ"
4. Tại "Đánh giá" chọn "5 sao"
5. Nhấn nút "Lọc"</t>
  </si>
  <si>
    <t>[Filter-Combine-6]</t>
  </si>
  <si>
    <t>Kiểm tra từ khóa tìm kiếm được giữ nguyên sau khi lọc</t>
  </si>
  <si>
    <t>Từ khóa "chuột" vẫn hiển thị ở ô tìm kiếm và dòng Từ khóa: "chuột"; các sản phẩm hiển thị đều chứa từ khóa "chuột"</t>
  </si>
  <si>
    <t>[Filter-Combine-7]</t>
  </si>
  <si>
    <t>Dùng bộ lọc khi từ khóa tìm kiếm không có kết quả</t>
  </si>
  <si>
    <t>Pre-condition:
+ Truy cập được website (localhost:8080)
+ Có sản phẩm khớp với từ khóa "chuột"
Step:
1. Nhập từ khóa không tồn tại (ví dụ "abcxyz") vào ô "Tìm kiếm sản phẩm..." và nhấn biểu tượng tìm kiếm
2. Tại "Khoảng giá" chọn "Dưới 100.000đ"
3. Nhấn nút "Lọc"</t>
  </si>
  <si>
    <t>Không hiển thị sản phẩm nào, trang hiển thị thông báo không tìm thấy sản phẩm phù hợp, bộ lọc vẫn hiển thị và không bị lỗi</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</si>
</sst>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2">
    <font>
      <sz val="11"/>
      <color theme="1"/>
      <name val="Calibri"/>
      <charset val="134"/>
      <scheme val="minor"/>
    </font>
    <font>
      <sz val="11"/>
      <color theme="1"/>
      <name val="Calibri"/>
      <charset val="134"/>
    </font>
    <font>
      <b/>
      <sz val="10"/>
      <color rgb="FF000000"/>
      <name val="Tahoma"/>
      <charset val="1"/>
    </font>
    <font>
      <i/>
      <sz val="10"/>
      <color rgb="FF008000"/>
      <name val="Tahoma"/>
      <charset val="1"/>
    </font>
    <font>
      <sz val="10"/>
      <color rgb="FF008000"/>
      <name val="Tahoma"/>
      <charset val="1"/>
    </font>
    <font>
      <sz val="10"/>
      <color rgb="FF000000"/>
      <name val="Tahoma"/>
      <charset val="1"/>
    </font>
    <font>
      <sz val="11"/>
      <color rgb="FF000000"/>
      <name val="Calibri"/>
      <charset val="1"/>
    </font>
    <font>
      <i/>
      <sz val="11"/>
      <color rgb="FF000000"/>
      <name val="Calibri"/>
      <charset val="1"/>
    </font>
    <font>
      <b/>
      <sz val="10"/>
      <color rgb="FFFFFFFF"/>
      <name val="Tahoma"/>
      <charset val="163"/>
    </font>
    <font>
      <b/>
      <sz val="10"/>
      <color rgb="FFFFFFFF"/>
      <name val="Tahoma"/>
      <charset val="0"/>
    </font>
    <font>
      <sz val="10"/>
      <color rgb="FF000000"/>
      <name val="Calibri"/>
      <charset val="1"/>
    </font>
    <font>
      <b/>
      <sz val="10"/>
      <color theme="1"/>
      <name val="Arial"/>
      <charset val="163"/>
    </font>
    <font>
      <sz val="10"/>
      <color theme="1"/>
      <name val="Arial"/>
      <charset val="163"/>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1">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B8CCE4"/>
        <bgColor rgb="FFCCCCCC"/>
      </patternFill>
    </fill>
    <fill>
      <patternFill patternType="solid">
        <fgColor rgb="FFDBE5F1"/>
        <bgColor rgb="FFCCFFFF"/>
      </patternFill>
    </fill>
    <fill>
      <patternFill patternType="solid">
        <fgColor rgb="FFFFFFFF"/>
        <bgColor rgb="FF000000"/>
      </patternFill>
    </fill>
    <fill>
      <patternFill patternType="solid">
        <fgColor rgb="FFB8CCE4"/>
        <bgColor rgb="FF000000"/>
      </patternFill>
    </fill>
    <fill>
      <patternFill patternType="solid">
        <fgColor rgb="FFDBE5F1"/>
        <bgColor rgb="FF000000"/>
      </patternFill>
    </fill>
    <fill>
      <patternFill patternType="solid">
        <fgColor rgb="FF00CCFF"/>
        <bgColor rgb="FF33CC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2">
    <border>
      <left/>
      <right/>
      <top/>
      <bottom/>
      <diagonal/>
    </border>
    <border>
      <left style="thin">
        <color auto="1"/>
      </left>
      <right/>
      <top style="thin">
        <color rgb="FFCCCCCC"/>
      </top>
      <bottom style="thin">
        <color auto="1"/>
      </bottom>
      <diagonal/>
    </border>
    <border>
      <left style="medium">
        <color auto="1"/>
      </left>
      <right/>
      <top style="medium">
        <color auto="1"/>
      </top>
      <bottom style="thin">
        <color auto="1"/>
      </bottom>
      <diagonal/>
    </border>
    <border>
      <left style="thin">
        <color rgb="FFCCCCCC"/>
      </left>
      <right/>
      <top style="medium">
        <color auto="1"/>
      </top>
      <bottom style="thin">
        <color auto="1"/>
      </bottom>
      <diagonal/>
    </border>
    <border>
      <left style="thin">
        <color rgb="FFCCCCCC"/>
      </left>
      <right style="medium">
        <color auto="1"/>
      </right>
      <top style="medium">
        <color auto="1"/>
      </top>
      <bottom style="thin">
        <color auto="1"/>
      </bottom>
      <diagonal/>
    </border>
    <border>
      <left style="medium">
        <color auto="1"/>
      </left>
      <right/>
      <top style="thin">
        <color rgb="FFCCCCCC"/>
      </top>
      <bottom style="thin">
        <color auto="1"/>
      </bottom>
      <diagonal/>
    </border>
    <border>
      <left style="thin">
        <color rgb="FFCCCCCC"/>
      </left>
      <right/>
      <top style="thin">
        <color rgb="FFCCCCCC"/>
      </top>
      <bottom style="thin">
        <color auto="1"/>
      </bottom>
      <diagonal/>
    </border>
    <border>
      <left style="thin">
        <color rgb="FFCCCCCC"/>
      </left>
      <right style="medium">
        <color auto="1"/>
      </right>
      <top style="thin">
        <color rgb="FFCCCCCC"/>
      </top>
      <bottom style="thin">
        <color auto="1"/>
      </bottom>
      <diagonal/>
    </border>
    <border>
      <left style="medium">
        <color auto="1"/>
      </left>
      <right style="thin">
        <color auto="1"/>
      </right>
      <top style="thin">
        <color rgb="FFCCCCCC"/>
      </top>
      <bottom style="medium">
        <color auto="1"/>
      </bottom>
      <diagonal/>
    </border>
    <border>
      <left style="thin">
        <color rgb="FFCCCCCC"/>
      </left>
      <right style="thin">
        <color auto="1"/>
      </right>
      <top style="thin">
        <color rgb="FFCCCCCC"/>
      </top>
      <bottom style="medium">
        <color auto="1"/>
      </bottom>
      <diagonal/>
    </border>
    <border>
      <left style="thin">
        <color rgb="FFCCCCCC"/>
      </left>
      <right/>
      <top style="thin">
        <color rgb="FFCCCCCC"/>
      </top>
      <bottom style="medium">
        <color auto="1"/>
      </bottom>
      <diagonal/>
    </border>
    <border>
      <left style="thin">
        <color rgb="FFCCCCCC"/>
      </left>
      <right style="medium">
        <color auto="1"/>
      </right>
      <top style="thin">
        <color rgb="FFCCCCCC"/>
      </top>
      <bottom style="medium">
        <color auto="1"/>
      </bottom>
      <diagonal/>
    </border>
    <border>
      <left style="thin">
        <color auto="1"/>
      </left>
      <right style="thin">
        <color auto="1"/>
      </right>
      <top style="thin">
        <color rgb="FFCCCCCC"/>
      </top>
      <bottom style="thick">
        <color auto="1"/>
      </bottom>
      <diagonal/>
    </border>
    <border>
      <left style="thin">
        <color rgb="FFCCCCCC"/>
      </left>
      <right style="thin">
        <color auto="1"/>
      </right>
      <top/>
      <bottom style="thin">
        <color auto="1"/>
      </bottom>
      <diagonal/>
    </border>
    <border>
      <left style="thin">
        <color rgb="FFCCCCCC"/>
      </left>
      <right/>
      <top/>
      <bottom style="thin">
        <color auto="1"/>
      </bottom>
      <diagonal/>
    </border>
    <border>
      <left style="thin">
        <color auto="1"/>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auto="1"/>
      </right>
      <top style="thin">
        <color rgb="FFCCCCCC"/>
      </top>
      <bottom style="thin">
        <color rgb="FFCCCCCC"/>
      </bottom>
      <diagonal/>
    </border>
    <border>
      <left/>
      <right style="thin">
        <color auto="1"/>
      </right>
      <top/>
      <bottom style="thin">
        <color auto="1"/>
      </bottom>
      <diagonal/>
    </border>
    <border>
      <left/>
      <right style="thin">
        <color auto="1"/>
      </right>
      <top/>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rgb="FFCCCCCC"/>
      </top>
      <bottom style="thin">
        <color auto="1"/>
      </bottom>
      <diagonal/>
    </border>
    <border>
      <left style="thin">
        <color rgb="FFCCCCCC"/>
      </left>
      <right style="thin">
        <color auto="1"/>
      </right>
      <top style="thin">
        <color rgb="FFCCCCCC"/>
      </top>
      <bottom style="thin">
        <color auto="1"/>
      </bottom>
      <diagonal/>
    </border>
    <border>
      <left style="thin">
        <color rgb="FF000000"/>
      </left>
      <right style="thin">
        <color rgb="FF000000"/>
      </right>
      <top style="thin">
        <color rgb="FFCCCCCC"/>
      </top>
      <bottom style="thin">
        <color rgb="FF000000"/>
      </bottom>
      <diagonal/>
    </border>
    <border>
      <left style="thin">
        <color rgb="FFCCCCCC"/>
      </left>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000000"/>
      </right>
      <top style="thin">
        <color rgb="FFCCCCCC"/>
      </top>
      <bottom style="thick">
        <color rgb="FF000000"/>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0" fillId="10" borderId="34"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35" applyNumberFormat="0" applyFill="0" applyAlignment="0" applyProtection="0">
      <alignment vertical="center"/>
    </xf>
    <xf numFmtId="0" fontId="19" fillId="0" borderId="35" applyNumberFormat="0" applyFill="0" applyAlignment="0" applyProtection="0">
      <alignment vertical="center"/>
    </xf>
    <xf numFmtId="0" fontId="20" fillId="0" borderId="36" applyNumberFormat="0" applyFill="0" applyAlignment="0" applyProtection="0">
      <alignment vertical="center"/>
    </xf>
    <xf numFmtId="0" fontId="20" fillId="0" borderId="0" applyNumberFormat="0" applyFill="0" applyBorder="0" applyAlignment="0" applyProtection="0">
      <alignment vertical="center"/>
    </xf>
    <xf numFmtId="0" fontId="21" fillId="11" borderId="37" applyNumberFormat="0" applyAlignment="0" applyProtection="0">
      <alignment vertical="center"/>
    </xf>
    <xf numFmtId="0" fontId="22" fillId="12" borderId="38" applyNumberFormat="0" applyAlignment="0" applyProtection="0">
      <alignment vertical="center"/>
    </xf>
    <xf numFmtId="0" fontId="23" fillId="12" borderId="37" applyNumberFormat="0" applyAlignment="0" applyProtection="0">
      <alignment vertical="center"/>
    </xf>
    <xf numFmtId="0" fontId="24" fillId="13" borderId="39" applyNumberFormat="0" applyAlignment="0" applyProtection="0">
      <alignment vertical="center"/>
    </xf>
    <xf numFmtId="0" fontId="25" fillId="0" borderId="40" applyNumberFormat="0" applyFill="0" applyAlignment="0" applyProtection="0">
      <alignment vertical="center"/>
    </xf>
    <xf numFmtId="0" fontId="26" fillId="0" borderId="41" applyNumberFormat="0" applyFill="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30" fillId="17" borderId="0" applyNumberFormat="0" applyBorder="0" applyAlignment="0" applyProtection="0">
      <alignment vertical="center"/>
    </xf>
    <xf numFmtId="0" fontId="31" fillId="18" borderId="0" applyNumberFormat="0" applyBorder="0" applyAlignment="0" applyProtection="0">
      <alignment vertical="center"/>
    </xf>
    <xf numFmtId="0" fontId="31"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31" fillId="22" borderId="0" applyNumberFormat="0" applyBorder="0" applyAlignment="0" applyProtection="0">
      <alignment vertical="center"/>
    </xf>
    <xf numFmtId="0" fontId="31"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1" fillId="26" borderId="0" applyNumberFormat="0" applyBorder="0" applyAlignment="0" applyProtection="0">
      <alignment vertical="center"/>
    </xf>
    <xf numFmtId="0" fontId="31"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1" fillId="30" borderId="0" applyNumberFormat="0" applyBorder="0" applyAlignment="0" applyProtection="0">
      <alignment vertical="center"/>
    </xf>
    <xf numFmtId="0" fontId="31" fillId="31"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1" fillId="34" borderId="0" applyNumberFormat="0" applyBorder="0" applyAlignment="0" applyProtection="0">
      <alignment vertical="center"/>
    </xf>
    <xf numFmtId="0" fontId="31" fillId="35" borderId="0" applyNumberFormat="0" applyBorder="0" applyAlignment="0" applyProtection="0">
      <alignment vertical="center"/>
    </xf>
    <xf numFmtId="0" fontId="30" fillId="36" borderId="0" applyNumberFormat="0" applyBorder="0" applyAlignment="0" applyProtection="0">
      <alignment vertical="center"/>
    </xf>
    <xf numFmtId="0" fontId="30"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0" fillId="40" borderId="0" applyNumberFormat="0" applyBorder="0" applyAlignment="0" applyProtection="0">
      <alignment vertical="center"/>
    </xf>
  </cellStyleXfs>
  <cellXfs count="63">
    <xf numFmtId="0" fontId="0" fillId="0" borderId="0" xfId="0">
      <alignment vertical="center"/>
    </xf>
    <xf numFmtId="0" fontId="1" fillId="0" borderId="0" xfId="0" applyFont="1" applyFill="1" applyAlignment="1">
      <alignment vertical="center"/>
    </xf>
    <xf numFmtId="0" fontId="1" fillId="0" borderId="0" xfId="0" applyFont="1" applyFill="1" applyAlignment="1">
      <alignment horizontal="center" vertical="center"/>
    </xf>
    <xf numFmtId="0" fontId="1" fillId="0" borderId="0" xfId="0" applyFont="1" applyFill="1" applyAlignment="1"/>
    <xf numFmtId="0" fontId="2" fillId="2" borderId="1" xfId="0" applyFont="1" applyFill="1" applyBorder="1" applyAlignment="1">
      <alignment wrapText="1" readingOrder="1"/>
    </xf>
    <xf numFmtId="0" fontId="3" fillId="2" borderId="2" xfId="0" applyFont="1" applyFill="1" applyBorder="1" applyAlignment="1">
      <alignment wrapText="1" readingOrder="1"/>
    </xf>
    <xf numFmtId="0" fontId="3" fillId="2" borderId="3" xfId="0" applyFont="1" applyFill="1" applyBorder="1" applyAlignment="1">
      <alignment wrapText="1" readingOrder="1"/>
    </xf>
    <xf numFmtId="0" fontId="3" fillId="2" borderId="4" xfId="0" applyFont="1" applyFill="1" applyBorder="1" applyAlignment="1">
      <alignment wrapText="1" readingOrder="1"/>
    </xf>
    <xf numFmtId="0" fontId="4" fillId="2" borderId="5" xfId="0" applyFont="1" applyFill="1" applyBorder="1" applyAlignment="1">
      <alignment wrapText="1" readingOrder="1"/>
    </xf>
    <xf numFmtId="0" fontId="4" fillId="2" borderId="6" xfId="0" applyFont="1" applyFill="1" applyBorder="1" applyAlignment="1">
      <alignment wrapText="1" readingOrder="1"/>
    </xf>
    <xf numFmtId="0" fontId="4" fillId="2" borderId="7" xfId="0" applyFont="1" applyFill="1" applyBorder="1" applyAlignment="1">
      <alignment wrapText="1" readingOrder="1"/>
    </xf>
    <xf numFmtId="0" fontId="3" fillId="2" borderId="5" xfId="0" applyFont="1" applyFill="1" applyBorder="1" applyAlignment="1">
      <alignment wrapText="1" readingOrder="1"/>
    </xf>
    <xf numFmtId="0" fontId="3" fillId="2" borderId="6" xfId="0" applyFont="1" applyFill="1" applyBorder="1" applyAlignment="1">
      <alignment wrapText="1" readingOrder="1"/>
    </xf>
    <xf numFmtId="0" fontId="3" fillId="2" borderId="7" xfId="0" applyFont="1" applyFill="1" applyBorder="1" applyAlignment="1">
      <alignment wrapText="1" readingOrder="1"/>
    </xf>
    <xf numFmtId="0" fontId="2" fillId="2" borderId="1" xfId="0" applyFont="1" applyFill="1" applyBorder="1" applyAlignment="1">
      <alignment readingOrder="1"/>
    </xf>
    <xf numFmtId="0" fontId="2" fillId="2" borderId="8" xfId="0" applyFont="1" applyFill="1" applyBorder="1" applyAlignment="1">
      <alignment wrapText="1" readingOrder="1"/>
    </xf>
    <xf numFmtId="0" fontId="2" fillId="2" borderId="9" xfId="0" applyFont="1" applyFill="1" applyBorder="1" applyAlignment="1">
      <alignment wrapText="1" readingOrder="1"/>
    </xf>
    <xf numFmtId="0" fontId="2" fillId="2" borderId="10" xfId="0" applyFont="1" applyFill="1" applyBorder="1" applyAlignment="1">
      <alignment wrapText="1" readingOrder="1"/>
    </xf>
    <xf numFmtId="0" fontId="2" fillId="2" borderId="11" xfId="0" applyFont="1" applyFill="1" applyBorder="1" applyAlignment="1">
      <alignment wrapText="1" readingOrder="1"/>
    </xf>
    <xf numFmtId="0" fontId="5" fillId="2" borderId="12" xfId="0" applyFont="1" applyFill="1" applyBorder="1" applyAlignment="1">
      <alignment readingOrder="1"/>
    </xf>
    <xf numFmtId="0" fontId="5" fillId="2" borderId="13" xfId="0" applyFont="1" applyFill="1" applyBorder="1" applyAlignment="1">
      <alignment readingOrder="1"/>
    </xf>
    <xf numFmtId="0" fontId="5" fillId="2" borderId="13" xfId="0" applyFont="1" applyFill="1" applyBorder="1" applyAlignment="1">
      <alignment wrapText="1" readingOrder="1"/>
    </xf>
    <xf numFmtId="0" fontId="5" fillId="2" borderId="14" xfId="0" applyFont="1" applyFill="1" applyBorder="1" applyAlignment="1">
      <alignment wrapText="1" readingOrder="1"/>
    </xf>
    <xf numFmtId="0" fontId="6" fillId="2" borderId="15" xfId="0" applyFont="1" applyFill="1" applyBorder="1" applyAlignment="1">
      <alignment horizontal="left" vertical="top" wrapText="1" readingOrder="1"/>
    </xf>
    <xf numFmtId="0" fontId="6" fillId="2" borderId="16" xfId="0" applyFont="1" applyFill="1" applyBorder="1" applyAlignment="1">
      <alignment horizontal="left" vertical="top" wrapText="1" readingOrder="1"/>
    </xf>
    <xf numFmtId="0" fontId="7" fillId="2" borderId="16" xfId="0" applyFont="1" applyFill="1" applyBorder="1" applyAlignment="1">
      <alignment horizontal="left" vertical="top" wrapText="1" readingOrder="1"/>
    </xf>
    <xf numFmtId="0" fontId="6" fillId="2" borderId="17" xfId="0" applyFont="1" applyFill="1" applyBorder="1" applyAlignment="1">
      <alignment horizontal="left" vertical="top" wrapText="1" readingOrder="1"/>
    </xf>
    <xf numFmtId="0" fontId="8" fillId="3" borderId="18" xfId="0" applyFont="1" applyFill="1" applyBorder="1" applyAlignment="1">
      <alignment horizontal="center" vertical="center" wrapText="1"/>
    </xf>
    <xf numFmtId="0" fontId="8" fillId="3" borderId="19" xfId="0" applyFont="1" applyFill="1" applyBorder="1" applyAlignment="1">
      <alignment horizontal="center" vertical="center" wrapText="1"/>
    </xf>
    <xf numFmtId="0" fontId="9" fillId="3" borderId="20" xfId="0" applyFont="1" applyFill="1" applyBorder="1" applyAlignment="1">
      <alignment horizontal="center" vertical="center" wrapText="1"/>
    </xf>
    <xf numFmtId="0" fontId="8" fillId="3" borderId="0" xfId="0" applyFont="1" applyFill="1" applyAlignment="1">
      <alignment horizontal="center" vertical="center" wrapText="1"/>
    </xf>
    <xf numFmtId="0" fontId="8" fillId="3" borderId="21" xfId="0" applyFont="1" applyFill="1" applyBorder="1" applyAlignment="1">
      <alignment horizontal="center" vertical="center" wrapText="1"/>
    </xf>
    <xf numFmtId="0" fontId="5" fillId="4" borderId="22" xfId="0" applyFont="1" applyFill="1" applyBorder="1" applyAlignment="1">
      <alignment horizontal="left" vertical="top" wrapText="1" readingOrder="1"/>
    </xf>
    <xf numFmtId="0" fontId="10" fillId="4" borderId="23" xfId="0" applyFont="1" applyFill="1" applyBorder="1" applyAlignment="1">
      <alignment horizontal="left" vertical="top" wrapText="1" readingOrder="1"/>
    </xf>
    <xf numFmtId="0" fontId="6" fillId="4" borderId="23" xfId="0" applyFont="1" applyFill="1" applyBorder="1" applyAlignment="1">
      <alignment horizontal="left" vertical="top" wrapText="1" readingOrder="1"/>
    </xf>
    <xf numFmtId="0" fontId="10" fillId="5" borderId="23" xfId="0" applyFont="1" applyFill="1" applyBorder="1" applyAlignment="1">
      <alignment horizontal="left" vertical="top" wrapText="1" readingOrder="1"/>
    </xf>
    <xf numFmtId="0" fontId="0" fillId="0" borderId="0" xfId="0" applyAlignment="1">
      <alignment horizontal="center" vertical="center"/>
    </xf>
    <xf numFmtId="0" fontId="2" fillId="6" borderId="24" xfId="0" applyFont="1" applyFill="1" applyBorder="1" applyAlignment="1">
      <alignment wrapText="1" readingOrder="1"/>
    </xf>
    <xf numFmtId="0" fontId="3" fillId="6" borderId="25" xfId="0" applyFont="1" applyFill="1" applyBorder="1" applyAlignment="1">
      <alignment wrapText="1" readingOrder="1"/>
    </xf>
    <xf numFmtId="0" fontId="4" fillId="6" borderId="25" xfId="0" applyFont="1" applyFill="1" applyBorder="1" applyAlignment="1">
      <alignment wrapText="1" readingOrder="1"/>
    </xf>
    <xf numFmtId="0" fontId="2" fillId="6" borderId="24" xfId="0" applyFont="1" applyFill="1" applyBorder="1" applyAlignment="1">
      <alignment readingOrder="1"/>
    </xf>
    <xf numFmtId="0" fontId="2" fillId="6" borderId="26" xfId="0" applyFont="1" applyFill="1" applyBorder="1" applyAlignment="1">
      <alignment wrapText="1" readingOrder="1"/>
    </xf>
    <xf numFmtId="0" fontId="2" fillId="6" borderId="25" xfId="0" applyFont="1" applyFill="1" applyBorder="1" applyAlignment="1">
      <alignment wrapText="1" readingOrder="1"/>
    </xf>
    <xf numFmtId="0" fontId="5" fillId="6" borderId="27" xfId="0" applyFont="1" applyFill="1" applyBorder="1" applyAlignment="1">
      <alignment readingOrder="1"/>
    </xf>
    <xf numFmtId="0" fontId="5" fillId="6" borderId="26" xfId="0" applyFont="1" applyFill="1" applyBorder="1" applyAlignment="1">
      <alignment readingOrder="1"/>
    </xf>
    <xf numFmtId="0" fontId="5" fillId="6" borderId="26" xfId="0" applyFont="1" applyFill="1" applyBorder="1" applyAlignment="1">
      <alignment wrapText="1" readingOrder="1"/>
    </xf>
    <xf numFmtId="0" fontId="5" fillId="6" borderId="25" xfId="0" applyFont="1" applyFill="1" applyBorder="1" applyAlignment="1">
      <alignment wrapText="1" readingOrder="1"/>
    </xf>
    <xf numFmtId="0" fontId="6" fillId="6" borderId="28" xfId="0" applyFont="1" applyFill="1" applyBorder="1" applyAlignment="1">
      <alignment horizontal="left" vertical="top" wrapText="1" readingOrder="1"/>
    </xf>
    <xf numFmtId="0" fontId="6" fillId="6" borderId="16" xfId="0" applyFont="1" applyFill="1" applyBorder="1" applyAlignment="1">
      <alignment horizontal="left" vertical="top" wrapText="1" readingOrder="1"/>
    </xf>
    <xf numFmtId="0" fontId="7" fillId="6" borderId="16" xfId="0" applyFont="1" applyFill="1" applyBorder="1" applyAlignment="1">
      <alignment horizontal="left" vertical="top" wrapText="1" readingOrder="1"/>
    </xf>
    <xf numFmtId="0" fontId="6" fillId="6" borderId="29" xfId="0" applyFont="1" applyFill="1" applyBorder="1" applyAlignment="1">
      <alignment horizontal="left" vertical="top" wrapText="1" readingOrder="1"/>
    </xf>
    <xf numFmtId="0" fontId="5" fillId="7" borderId="24" xfId="0" applyFont="1" applyFill="1" applyBorder="1" applyAlignment="1">
      <alignment horizontal="left" vertical="top" wrapText="1" readingOrder="1"/>
    </xf>
    <xf numFmtId="0" fontId="10" fillId="7" borderId="26" xfId="0" applyFont="1" applyFill="1" applyBorder="1" applyAlignment="1">
      <alignment horizontal="left" vertical="top" wrapText="1" readingOrder="1"/>
    </xf>
    <xf numFmtId="0" fontId="6" fillId="7" borderId="26" xfId="0" applyFont="1" applyFill="1" applyBorder="1" applyAlignment="1">
      <alignment horizontal="left" vertical="top" wrapText="1" readingOrder="1"/>
    </xf>
    <xf numFmtId="0" fontId="10" fillId="8" borderId="26" xfId="0" applyFont="1" applyFill="1" applyBorder="1" applyAlignment="1">
      <alignment horizontal="left" vertical="top" wrapText="1" readingOrder="1"/>
    </xf>
    <xf numFmtId="0" fontId="1" fillId="0" borderId="0" xfId="0" applyFont="1" applyFill="1" applyAlignment="1">
      <alignment vertical="center"/>
    </xf>
    <xf numFmtId="0" fontId="1" fillId="0" borderId="0" xfId="0" applyFont="1" applyFill="1" applyAlignment="1"/>
    <xf numFmtId="0" fontId="11" fillId="9" borderId="30" xfId="0" applyFont="1" applyFill="1" applyBorder="1" applyAlignment="1">
      <alignment horizontal="center" vertical="center" wrapText="1"/>
    </xf>
    <xf numFmtId="0" fontId="12" fillId="0" borderId="31" xfId="0" applyFont="1" applyFill="1" applyBorder="1" applyAlignment="1">
      <alignment horizontal="left" vertical="center" wrapText="1"/>
    </xf>
    <xf numFmtId="0" fontId="12" fillId="0" borderId="30" xfId="0" applyFont="1" applyFill="1" applyBorder="1" applyAlignment="1">
      <alignment vertical="center" wrapText="1"/>
    </xf>
    <xf numFmtId="0" fontId="12" fillId="0" borderId="30" xfId="0" applyFont="1" applyFill="1" applyBorder="1" applyAlignment="1">
      <alignment horizontal="left" vertical="center" wrapText="1"/>
    </xf>
    <xf numFmtId="0" fontId="12" fillId="0" borderId="32" xfId="0" applyFont="1" applyFill="1" applyBorder="1" applyAlignment="1">
      <alignment horizontal="left" vertical="center" wrapText="1"/>
    </xf>
    <xf numFmtId="0" fontId="12" fillId="0" borderId="33" xfId="0" applyFont="1" applyFill="1" applyBorder="1" applyAlignment="1">
      <alignment horizontal="left" vertical="center" wrapText="1"/>
    </xf>
    <xf numFmtId="0" fontId="5" fillId="6" borderId="26" xfId="0" applyFont="1" applyFill="1" applyBorder="1" applyAlignment="1" quotePrefix="1">
      <alignment readingOrder="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5"/>
  <sheetViews>
    <sheetView zoomScaleSheetLayoutView="60" workbookViewId="0">
      <selection activeCell="C40" sqref="C40"/>
    </sheetView>
  </sheetViews>
  <sheetFormatPr defaultColWidth="10" defaultRowHeight="14.4" outlineLevelCol="5"/>
  <cols>
    <col min="1" max="1" width="26.6666666666667" style="56" customWidth="1"/>
    <col min="2" max="2" width="25.4444444444444" style="56" customWidth="1"/>
    <col min="3" max="3" width="21.8888888888889" style="56" customWidth="1"/>
    <col min="4" max="4" width="60.7685185185185" style="56" customWidth="1"/>
    <col min="5" max="5" width="12.1111111111111" style="56" customWidth="1"/>
    <col min="6" max="6" width="24" style="56" customWidth="1"/>
    <col min="7" max="16384" width="10" style="55"/>
  </cols>
  <sheetData>
    <row r="1" s="55" customFormat="1" spans="1:6">
      <c r="A1" s="57" t="s">
        <v>0</v>
      </c>
      <c r="B1" s="57" t="s">
        <v>1</v>
      </c>
      <c r="C1" s="57" t="s">
        <v>2</v>
      </c>
      <c r="D1" s="57" t="s">
        <v>3</v>
      </c>
      <c r="E1" s="57" t="s">
        <v>4</v>
      </c>
      <c r="F1" s="57" t="s">
        <v>5</v>
      </c>
    </row>
    <row r="2" s="55" customFormat="1" ht="26.25" customHeight="1" spans="1:6">
      <c r="A2" s="58" t="s">
        <v>6</v>
      </c>
      <c r="B2" s="58" t="s">
        <v>7</v>
      </c>
      <c r="C2" s="58" t="s">
        <v>8</v>
      </c>
      <c r="D2" s="59" t="s">
        <v>9</v>
      </c>
      <c r="E2" s="60" t="s">
        <v>10</v>
      </c>
      <c r="F2" s="59"/>
    </row>
    <row r="3" s="55" customFormat="1" spans="1:6">
      <c r="A3" s="61"/>
      <c r="B3" s="61"/>
      <c r="C3" s="61" t="s">
        <v>11</v>
      </c>
      <c r="D3" s="59" t="s">
        <v>12</v>
      </c>
      <c r="E3" s="60" t="s">
        <v>10</v>
      </c>
      <c r="F3" s="59"/>
    </row>
    <row r="4" s="55" customFormat="1" ht="26.25" customHeight="1" spans="1:6">
      <c r="A4" s="61"/>
      <c r="B4" s="61"/>
      <c r="C4" s="58" t="s">
        <v>13</v>
      </c>
      <c r="D4" s="59" t="s">
        <v>14</v>
      </c>
      <c r="E4" s="60" t="s">
        <v>10</v>
      </c>
      <c r="F4" s="59" t="s">
        <v>15</v>
      </c>
    </row>
    <row r="5" s="55" customFormat="1" spans="1:6">
      <c r="A5" s="61"/>
      <c r="B5" s="61"/>
      <c r="C5" s="61"/>
      <c r="D5" s="59" t="s">
        <v>16</v>
      </c>
      <c r="E5" s="60" t="s">
        <v>10</v>
      </c>
      <c r="F5" s="59"/>
    </row>
    <row r="6" s="55" customFormat="1" spans="1:6">
      <c r="A6" s="61"/>
      <c r="B6" s="61"/>
      <c r="C6" s="62" t="s">
        <v>17</v>
      </c>
      <c r="D6" s="59" t="s">
        <v>18</v>
      </c>
      <c r="E6" s="60" t="s">
        <v>10</v>
      </c>
      <c r="F6" s="59"/>
    </row>
    <row r="7" s="55" customFormat="1" ht="26.25" customHeight="1" spans="1:6">
      <c r="A7" s="61"/>
      <c r="B7" s="61"/>
      <c r="C7" s="58"/>
      <c r="D7" s="59" t="s">
        <v>19</v>
      </c>
      <c r="E7" s="60" t="s">
        <v>10</v>
      </c>
      <c r="F7" s="59"/>
    </row>
    <row r="8" s="55" customFormat="1" ht="39" customHeight="1" spans="1:6">
      <c r="A8" s="61"/>
      <c r="B8" s="61"/>
      <c r="C8" s="61"/>
      <c r="D8" s="59" t="s">
        <v>20</v>
      </c>
      <c r="E8" s="60" t="s">
        <v>10</v>
      </c>
      <c r="F8" s="59" t="s">
        <v>21</v>
      </c>
    </row>
    <row r="9" s="55" customFormat="1" spans="1:6">
      <c r="A9" s="61"/>
      <c r="B9" s="61"/>
      <c r="C9" s="61" t="s">
        <v>22</v>
      </c>
      <c r="D9" s="59" t="s">
        <v>23</v>
      </c>
      <c r="E9" s="60" t="s">
        <v>10</v>
      </c>
      <c r="F9" s="59"/>
    </row>
    <row r="10" s="55" customFormat="1" ht="26.25" customHeight="1" spans="1:6">
      <c r="A10" s="61"/>
      <c r="B10" s="62"/>
      <c r="C10" s="62"/>
      <c r="D10" s="59" t="s">
        <v>24</v>
      </c>
      <c r="E10" s="60" t="s">
        <v>10</v>
      </c>
      <c r="F10" s="59"/>
    </row>
    <row r="11" s="55" customFormat="1" spans="1:6">
      <c r="A11" s="62"/>
      <c r="B11" s="60"/>
      <c r="C11" s="60" t="s">
        <v>25</v>
      </c>
      <c r="D11" s="59" t="s">
        <v>26</v>
      </c>
      <c r="E11" s="60" t="s">
        <v>10</v>
      </c>
      <c r="F11" s="59"/>
    </row>
    <row r="12" s="55" customFormat="1" ht="26.25" customHeight="1" spans="1:6">
      <c r="A12" s="61"/>
      <c r="B12" s="58"/>
      <c r="C12" s="58"/>
      <c r="D12" s="59" t="s">
        <v>27</v>
      </c>
      <c r="E12" s="60" t="s">
        <v>10</v>
      </c>
      <c r="F12" s="59"/>
    </row>
    <row r="13" s="55" customFormat="1" ht="26.25" customHeight="1" spans="1:6">
      <c r="A13" s="61"/>
      <c r="B13" s="58"/>
      <c r="C13" s="58" t="s">
        <v>28</v>
      </c>
      <c r="D13" s="59" t="s">
        <v>29</v>
      </c>
      <c r="E13" s="60" t="s">
        <v>10</v>
      </c>
      <c r="F13" s="59"/>
    </row>
    <row r="14" s="55" customFormat="1" ht="26.25" customHeight="1" spans="1:6">
      <c r="A14" s="61"/>
      <c r="B14" s="58" t="s">
        <v>30</v>
      </c>
      <c r="C14" s="58" t="s">
        <v>31</v>
      </c>
      <c r="D14" s="59" t="s">
        <v>32</v>
      </c>
      <c r="E14" s="60" t="s">
        <v>10</v>
      </c>
      <c r="F14" s="59"/>
    </row>
    <row r="15" s="55" customFormat="1" spans="1:6">
      <c r="A15" s="61"/>
      <c r="B15" s="58"/>
      <c r="C15" s="58" t="s">
        <v>33</v>
      </c>
      <c r="D15" s="59" t="s">
        <v>34</v>
      </c>
      <c r="E15" s="60" t="s">
        <v>10</v>
      </c>
      <c r="F15" s="59"/>
    </row>
    <row r="16" s="55" customFormat="1" ht="26.25" customHeight="1" spans="1:6">
      <c r="A16" s="61"/>
      <c r="B16" s="58"/>
      <c r="C16" s="58" t="s">
        <v>35</v>
      </c>
      <c r="D16" s="59" t="s">
        <v>36</v>
      </c>
      <c r="E16" s="60" t="s">
        <v>10</v>
      </c>
      <c r="F16" s="59" t="s">
        <v>37</v>
      </c>
    </row>
    <row r="17" s="55" customFormat="1" ht="26.25" customHeight="1" spans="1:6">
      <c r="A17" s="61"/>
      <c r="B17" s="58"/>
      <c r="C17" s="58"/>
      <c r="D17" s="58" t="s">
        <v>38</v>
      </c>
      <c r="E17" s="60" t="s">
        <v>10</v>
      </c>
      <c r="F17" s="59" t="s">
        <v>37</v>
      </c>
    </row>
    <row r="18" s="55" customFormat="1" ht="26.25" customHeight="1" spans="1:6">
      <c r="A18" s="61"/>
      <c r="B18" s="58"/>
      <c r="C18" s="58"/>
      <c r="D18" s="58" t="s">
        <v>39</v>
      </c>
      <c r="E18" s="60" t="s">
        <v>10</v>
      </c>
      <c r="F18" s="59" t="s">
        <v>37</v>
      </c>
    </row>
    <row r="19" s="55" customFormat="1" ht="26.25" customHeight="1" spans="1:6">
      <c r="A19" s="61"/>
      <c r="B19" s="58"/>
      <c r="C19" s="58"/>
      <c r="D19" s="58" t="s">
        <v>40</v>
      </c>
      <c r="E19" s="60" t="s">
        <v>10</v>
      </c>
      <c r="F19" s="59" t="s">
        <v>37</v>
      </c>
    </row>
    <row r="20" s="55" customFormat="1" spans="1:6">
      <c r="A20" s="61"/>
      <c r="B20" s="58" t="s">
        <v>41</v>
      </c>
      <c r="C20" s="58" t="s">
        <v>42</v>
      </c>
      <c r="D20" s="58" t="s">
        <v>43</v>
      </c>
      <c r="E20" s="60" t="s">
        <v>10</v>
      </c>
      <c r="F20" s="59"/>
    </row>
    <row r="21" s="55" customFormat="1" spans="1:6">
      <c r="A21" s="61"/>
      <c r="B21" s="58"/>
      <c r="C21" s="58"/>
      <c r="D21" s="58" t="s">
        <v>44</v>
      </c>
      <c r="E21" s="60" t="s">
        <v>10</v>
      </c>
      <c r="F21" s="59"/>
    </row>
    <row r="22" s="55" customFormat="1" ht="26.4" spans="1:6">
      <c r="A22" s="61" t="s">
        <v>45</v>
      </c>
      <c r="B22" s="58" t="s">
        <v>46</v>
      </c>
      <c r="C22" s="58" t="s">
        <v>47</v>
      </c>
      <c r="D22" s="58" t="s">
        <v>48</v>
      </c>
      <c r="E22" s="60" t="s">
        <v>49</v>
      </c>
      <c r="F22" s="59"/>
    </row>
    <row r="23" s="55" customFormat="1" ht="26.4" spans="1:6">
      <c r="A23" s="61"/>
      <c r="B23" s="58"/>
      <c r="C23" s="58" t="s">
        <v>50</v>
      </c>
      <c r="D23" s="58" t="s">
        <v>51</v>
      </c>
      <c r="E23" s="60" t="s">
        <v>49</v>
      </c>
      <c r="F23" s="59"/>
    </row>
    <row r="24" s="55" customFormat="1" spans="1:6">
      <c r="A24" s="61"/>
      <c r="B24" s="58" t="s">
        <v>52</v>
      </c>
      <c r="C24" s="58" t="s">
        <v>53</v>
      </c>
      <c r="D24" s="58" t="s">
        <v>54</v>
      </c>
      <c r="E24" s="60" t="s">
        <v>10</v>
      </c>
      <c r="F24" s="59"/>
    </row>
    <row r="25" s="55" customFormat="1" spans="1:6">
      <c r="A25" s="61"/>
      <c r="B25" s="58"/>
      <c r="C25" s="58"/>
      <c r="D25" s="58" t="s">
        <v>55</v>
      </c>
      <c r="E25" s="60" t="s">
        <v>10</v>
      </c>
      <c r="F25" s="59"/>
    </row>
    <row r="26" s="55" customFormat="1" spans="1:6">
      <c r="A26" s="61"/>
      <c r="B26" s="58"/>
      <c r="C26" s="58"/>
      <c r="D26" s="58" t="s">
        <v>56</v>
      </c>
      <c r="E26" s="60" t="s">
        <v>10</v>
      </c>
      <c r="F26" s="59"/>
    </row>
    <row r="27" s="55" customFormat="1" spans="1:6">
      <c r="A27" s="61"/>
      <c r="B27" s="58"/>
      <c r="C27" s="58"/>
      <c r="D27" s="58" t="s">
        <v>57</v>
      </c>
      <c r="E27" s="60" t="s">
        <v>10</v>
      </c>
      <c r="F27" s="59"/>
    </row>
    <row r="28" s="55" customFormat="1" spans="1:6">
      <c r="A28" s="61"/>
      <c r="B28" s="58"/>
      <c r="C28" s="58"/>
      <c r="D28" s="58" t="s">
        <v>58</v>
      </c>
      <c r="E28" s="60" t="s">
        <v>10</v>
      </c>
      <c r="F28" s="59"/>
    </row>
    <row r="29" s="55" customFormat="1" ht="26.4" spans="1:6">
      <c r="A29" s="61"/>
      <c r="B29" s="58"/>
      <c r="C29" s="58" t="s">
        <v>59</v>
      </c>
      <c r="D29" s="58" t="s">
        <v>60</v>
      </c>
      <c r="E29" s="60" t="s">
        <v>10</v>
      </c>
      <c r="F29" s="59" t="s">
        <v>61</v>
      </c>
    </row>
    <row r="30" s="55" customFormat="1" spans="1:6">
      <c r="A30" s="61"/>
      <c r="B30" s="58"/>
      <c r="C30" s="58" t="s">
        <v>62</v>
      </c>
      <c r="D30" s="58" t="s">
        <v>63</v>
      </c>
      <c r="E30" s="60" t="s">
        <v>10</v>
      </c>
      <c r="F30" s="59"/>
    </row>
    <row r="31" s="55" customFormat="1" spans="1:6">
      <c r="A31" s="61"/>
      <c r="B31" s="58" t="s">
        <v>64</v>
      </c>
      <c r="C31" s="58" t="s">
        <v>65</v>
      </c>
      <c r="D31" s="58" t="s">
        <v>66</v>
      </c>
      <c r="E31" s="60" t="s">
        <v>10</v>
      </c>
      <c r="F31" s="59"/>
    </row>
    <row r="32" s="55" customFormat="1" ht="52.8" spans="1:6">
      <c r="A32" s="61"/>
      <c r="B32" s="58"/>
      <c r="C32" s="58" t="s">
        <v>67</v>
      </c>
      <c r="D32" s="58" t="s">
        <v>68</v>
      </c>
      <c r="E32" s="60" t="s">
        <v>10</v>
      </c>
      <c r="F32" s="59" t="s">
        <v>69</v>
      </c>
    </row>
    <row r="33" s="55" customFormat="1" spans="1:6">
      <c r="A33" s="61"/>
      <c r="B33" s="58" t="s">
        <v>70</v>
      </c>
      <c r="C33" s="58" t="s">
        <v>71</v>
      </c>
      <c r="D33" s="58" t="s">
        <v>72</v>
      </c>
      <c r="E33" s="60" t="s">
        <v>10</v>
      </c>
      <c r="F33" s="59"/>
    </row>
    <row r="34" s="55" customFormat="1" spans="1:6">
      <c r="A34" s="61"/>
      <c r="B34" s="58"/>
      <c r="C34" s="58"/>
      <c r="D34" s="58" t="s">
        <v>73</v>
      </c>
      <c r="E34" s="60" t="s">
        <v>10</v>
      </c>
      <c r="F34" s="59"/>
    </row>
    <row r="35" s="55" customFormat="1" spans="1:6">
      <c r="A35" s="61"/>
      <c r="B35" s="58"/>
      <c r="C35" s="58" t="s">
        <v>74</v>
      </c>
      <c r="D35" s="58" t="s">
        <v>75</v>
      </c>
      <c r="E35" s="60" t="s">
        <v>10</v>
      </c>
      <c r="F35" s="59"/>
    </row>
    <row r="36" s="55" customFormat="1" spans="1:6">
      <c r="A36" s="61"/>
      <c r="B36" s="58" t="s">
        <v>76</v>
      </c>
      <c r="C36" s="58" t="s">
        <v>77</v>
      </c>
      <c r="D36" s="58" t="s">
        <v>78</v>
      </c>
      <c r="E36" s="60" t="s">
        <v>10</v>
      </c>
      <c r="F36" s="59"/>
    </row>
    <row r="37" s="55" customFormat="1" spans="1:6">
      <c r="A37" s="61"/>
      <c r="B37" s="58"/>
      <c r="C37" s="58"/>
      <c r="D37" s="58" t="s">
        <v>79</v>
      </c>
      <c r="E37" s="60" t="s">
        <v>10</v>
      </c>
      <c r="F37" s="59"/>
    </row>
    <row r="38" s="55" customFormat="1" spans="1:6">
      <c r="A38" s="61"/>
      <c r="B38" s="58"/>
      <c r="C38" s="58"/>
      <c r="D38" s="58" t="s">
        <v>80</v>
      </c>
      <c r="E38" s="60" t="s">
        <v>10</v>
      </c>
      <c r="F38" s="59"/>
    </row>
    <row r="39" s="55" customFormat="1" spans="1:6">
      <c r="A39" s="61"/>
      <c r="B39" s="58" t="s">
        <v>81</v>
      </c>
      <c r="C39" s="58" t="s">
        <v>82</v>
      </c>
      <c r="D39" s="58" t="s">
        <v>83</v>
      </c>
      <c r="E39" s="60" t="s">
        <v>10</v>
      </c>
      <c r="F39" s="59"/>
    </row>
    <row r="40" s="55" customFormat="1" spans="1:6">
      <c r="A40" s="61"/>
      <c r="B40" s="58"/>
      <c r="C40" s="58"/>
      <c r="D40" s="58" t="s">
        <v>84</v>
      </c>
      <c r="E40" s="60" t="s">
        <v>10</v>
      </c>
      <c r="F40" s="59"/>
    </row>
    <row r="41" s="55" customFormat="1" spans="1:6">
      <c r="A41" s="61"/>
      <c r="B41" s="58"/>
      <c r="C41" s="58"/>
      <c r="D41" s="58" t="s">
        <v>85</v>
      </c>
      <c r="E41" s="60" t="s">
        <v>10</v>
      </c>
      <c r="F41" s="59"/>
    </row>
    <row r="42" s="55" customFormat="1" spans="1:6">
      <c r="A42" s="61"/>
      <c r="B42" s="58"/>
      <c r="C42" s="58" t="s">
        <v>86</v>
      </c>
      <c r="D42" s="58" t="s">
        <v>87</v>
      </c>
      <c r="E42" s="60" t="s">
        <v>10</v>
      </c>
      <c r="F42" s="59"/>
    </row>
    <row r="43" s="55" customFormat="1" spans="1:6">
      <c r="A43" s="61"/>
      <c r="B43" s="58"/>
      <c r="C43" s="58" t="s">
        <v>62</v>
      </c>
      <c r="D43" s="58" t="s">
        <v>88</v>
      </c>
      <c r="E43" s="60" t="s">
        <v>10</v>
      </c>
      <c r="F43" s="59"/>
    </row>
    <row r="44" s="55" customFormat="1" spans="1:6">
      <c r="A44" s="61"/>
      <c r="B44" s="58"/>
      <c r="C44" s="58" t="s">
        <v>89</v>
      </c>
      <c r="D44" s="58" t="s">
        <v>90</v>
      </c>
      <c r="E44" s="60" t="s">
        <v>10</v>
      </c>
      <c r="F44" s="59"/>
    </row>
    <row r="45" s="55" customFormat="1" spans="1:6">
      <c r="A45" s="61"/>
      <c r="B45" s="58"/>
      <c r="C45" s="58"/>
      <c r="D45" s="58" t="s">
        <v>91</v>
      </c>
      <c r="E45" s="60" t="s">
        <v>10</v>
      </c>
      <c r="F45" s="59"/>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tabSelected="1" zoomScale="97" zoomScaleNormal="97" workbookViewId="0">
      <selection activeCell="F9" sqref="F9"/>
    </sheetView>
  </sheetViews>
  <sheetFormatPr defaultColWidth="8.88888888888889" defaultRowHeight="14.4" outlineLevelCol="7"/>
  <cols>
    <col min="1" max="1" width="24.4351851851852" customWidth="1"/>
    <col min="2" max="2" width="30.1111111111111" customWidth="1"/>
    <col min="3" max="3" width="43.4444444444444" customWidth="1"/>
    <col min="4" max="4" width="26" customWidth="1"/>
    <col min="5" max="5" width="30.2222222222222" customWidth="1"/>
    <col min="6" max="6" width="14.4444444444444" customWidth="1"/>
    <col min="7" max="7" width="11" customWidth="1"/>
  </cols>
  <sheetData>
    <row r="1" ht="49" customHeight="1" spans="1:8">
      <c r="A1" s="37" t="s">
        <v>92</v>
      </c>
      <c r="B1" s="38" t="s">
        <v>93</v>
      </c>
      <c r="C1" s="38"/>
      <c r="D1" s="38"/>
      <c r="E1" s="38"/>
      <c r="F1" s="38"/>
      <c r="G1" s="38"/>
      <c r="H1" s="38"/>
    </row>
    <row r="2" ht="39.6" customHeight="1" spans="1:8">
      <c r="A2" s="37" t="s">
        <v>94</v>
      </c>
      <c r="B2" s="39" t="s">
        <v>6</v>
      </c>
      <c r="C2" s="39"/>
      <c r="D2" s="39"/>
      <c r="E2" s="39"/>
      <c r="F2" s="39"/>
      <c r="G2" s="39"/>
      <c r="H2" s="39"/>
    </row>
    <row r="3" customHeight="1" spans="1:8">
      <c r="A3" s="37" t="s">
        <v>95</v>
      </c>
      <c r="B3" s="38" t="s">
        <v>96</v>
      </c>
      <c r="C3" s="38"/>
      <c r="D3" s="38"/>
      <c r="E3" s="38"/>
      <c r="F3" s="38"/>
      <c r="G3" s="38"/>
      <c r="H3" s="38"/>
    </row>
    <row r="4" ht="26.4" customHeight="1" spans="1:8">
      <c r="A4" s="40" t="s">
        <v>97</v>
      </c>
      <c r="B4" s="41" t="s">
        <v>98</v>
      </c>
      <c r="C4" s="41" t="s">
        <v>99</v>
      </c>
      <c r="D4" s="41" t="s">
        <v>100</v>
      </c>
      <c r="E4" s="41" t="s">
        <v>101</v>
      </c>
      <c r="F4" s="42" t="s">
        <v>102</v>
      </c>
      <c r="G4" s="42"/>
      <c r="H4" s="42"/>
    </row>
    <row r="5" ht="15.9" customHeight="1" spans="1:8">
      <c r="A5" s="43">
        <v>14</v>
      </c>
      <c r="B5" s="44">
        <v>6</v>
      </c>
      <c r="C5" s="63" t="s">
        <v>103</v>
      </c>
      <c r="D5" s="44">
        <v>0</v>
      </c>
      <c r="E5" s="45">
        <v>0</v>
      </c>
      <c r="F5" s="46">
        <v>20</v>
      </c>
      <c r="G5" s="46"/>
      <c r="H5" s="46"/>
    </row>
    <row r="6" ht="15.15" spans="1:8">
      <c r="A6" s="47"/>
      <c r="B6" s="48"/>
      <c r="C6" s="49"/>
      <c r="D6" s="48"/>
      <c r="E6" s="48"/>
      <c r="F6" s="48"/>
      <c r="G6" s="48"/>
      <c r="H6" s="50"/>
    </row>
    <row r="8" s="36" customFormat="1" ht="22" customHeight="1" spans="1:8">
      <c r="A8" s="27" t="s">
        <v>104</v>
      </c>
      <c r="B8" s="27" t="s">
        <v>105</v>
      </c>
      <c r="C8" s="27" t="s">
        <v>106</v>
      </c>
      <c r="D8" s="27" t="s">
        <v>107</v>
      </c>
      <c r="E8" s="28" t="s">
        <v>108</v>
      </c>
      <c r="F8" s="29" t="s">
        <v>109</v>
      </c>
      <c r="G8" s="30" t="s">
        <v>110</v>
      </c>
      <c r="H8" s="31" t="s">
        <v>5</v>
      </c>
    </row>
    <row r="9" ht="144" spans="1:8">
      <c r="A9" s="51" t="s">
        <v>111</v>
      </c>
      <c r="B9" s="52" t="s">
        <v>112</v>
      </c>
      <c r="C9" s="53" t="s">
        <v>113</v>
      </c>
      <c r="D9" s="53" t="s">
        <v>114</v>
      </c>
      <c r="E9" s="52"/>
      <c r="F9" s="52" t="s">
        <v>97</v>
      </c>
      <c r="G9" s="52" t="s">
        <v>115</v>
      </c>
      <c r="H9" s="52"/>
    </row>
    <row r="10" ht="124.2" spans="1:8">
      <c r="A10" s="54" t="s">
        <v>116</v>
      </c>
      <c r="B10" s="54" t="s">
        <v>117</v>
      </c>
      <c r="C10" s="54" t="s">
        <v>118</v>
      </c>
      <c r="D10" s="54" t="s">
        <v>119</v>
      </c>
      <c r="E10" s="54"/>
      <c r="F10" s="54" t="s">
        <v>98</v>
      </c>
      <c r="G10" s="54" t="s">
        <v>115</v>
      </c>
      <c r="H10" s="54"/>
    </row>
    <row r="11" ht="124.2" spans="1:8">
      <c r="A11" s="52" t="s">
        <v>120</v>
      </c>
      <c r="B11" s="52" t="s">
        <v>121</v>
      </c>
      <c r="C11" s="52" t="s">
        <v>122</v>
      </c>
      <c r="D11" s="52" t="s">
        <v>119</v>
      </c>
      <c r="E11" s="52"/>
      <c r="F11" s="52" t="s">
        <v>98</v>
      </c>
      <c r="G11" s="52" t="s">
        <v>115</v>
      </c>
      <c r="H11" s="52"/>
    </row>
    <row r="12" ht="138" spans="1:8">
      <c r="A12" s="54" t="s">
        <v>123</v>
      </c>
      <c r="B12" s="54" t="s">
        <v>124</v>
      </c>
      <c r="C12" s="54" t="s">
        <v>125</v>
      </c>
      <c r="D12" s="54" t="s">
        <v>114</v>
      </c>
      <c r="E12" s="54"/>
      <c r="F12" s="54" t="s">
        <v>97</v>
      </c>
      <c r="G12" s="54" t="s">
        <v>115</v>
      </c>
      <c r="H12" s="54"/>
    </row>
    <row r="13" ht="124.2" spans="1:8">
      <c r="A13" s="52" t="s">
        <v>126</v>
      </c>
      <c r="B13" s="52" t="s">
        <v>127</v>
      </c>
      <c r="C13" s="52" t="s">
        <v>128</v>
      </c>
      <c r="D13" s="52" t="s">
        <v>129</v>
      </c>
      <c r="E13" s="52"/>
      <c r="F13" s="52" t="s">
        <v>97</v>
      </c>
      <c r="G13" s="52" t="s">
        <v>115</v>
      </c>
      <c r="H13" s="52"/>
    </row>
    <row r="14" ht="138" spans="1:8">
      <c r="A14" s="54" t="s">
        <v>130</v>
      </c>
      <c r="B14" s="54" t="s">
        <v>131</v>
      </c>
      <c r="C14" s="54" t="s">
        <v>132</v>
      </c>
      <c r="D14" s="54" t="s">
        <v>119</v>
      </c>
      <c r="E14" s="54"/>
      <c r="F14" s="54" t="s">
        <v>133</v>
      </c>
      <c r="G14" s="54" t="s">
        <v>115</v>
      </c>
      <c r="H14" s="54"/>
    </row>
    <row r="15" ht="151.8" spans="1:8">
      <c r="A15" s="52" t="s">
        <v>134</v>
      </c>
      <c r="B15" s="52" t="s">
        <v>135</v>
      </c>
      <c r="C15" s="52" t="s">
        <v>136</v>
      </c>
      <c r="D15" s="52" t="s">
        <v>137</v>
      </c>
      <c r="E15" s="52"/>
      <c r="F15" s="52" t="s">
        <v>133</v>
      </c>
      <c r="G15" s="52" t="s">
        <v>115</v>
      </c>
      <c r="H15" s="52"/>
    </row>
    <row r="16" ht="124.2" spans="1:8">
      <c r="A16" s="54" t="s">
        <v>138</v>
      </c>
      <c r="B16" s="54" t="s">
        <v>139</v>
      </c>
      <c r="C16" s="54" t="s">
        <v>140</v>
      </c>
      <c r="D16" s="54" t="s">
        <v>119</v>
      </c>
      <c r="E16" s="54"/>
      <c r="F16" s="54" t="s">
        <v>133</v>
      </c>
      <c r="G16" s="54" t="s">
        <v>115</v>
      </c>
      <c r="H16" s="54"/>
    </row>
    <row r="17" ht="138" spans="1:8">
      <c r="A17" s="52" t="s">
        <v>141</v>
      </c>
      <c r="B17" s="52" t="s">
        <v>142</v>
      </c>
      <c r="C17" s="52" t="s">
        <v>143</v>
      </c>
      <c r="D17" s="52" t="s">
        <v>114</v>
      </c>
      <c r="E17" s="52"/>
      <c r="F17" s="52" t="s">
        <v>97</v>
      </c>
      <c r="G17" s="52" t="s">
        <v>115</v>
      </c>
      <c r="H17" s="52"/>
    </row>
    <row r="18" ht="124.2" spans="1:8">
      <c r="A18" s="54" t="s">
        <v>144</v>
      </c>
      <c r="B18" s="54" t="s">
        <v>145</v>
      </c>
      <c r="C18" s="54" t="s">
        <v>146</v>
      </c>
      <c r="D18" s="54" t="s">
        <v>119</v>
      </c>
      <c r="E18" s="54"/>
      <c r="F18" s="54" t="s">
        <v>133</v>
      </c>
      <c r="G18" s="54" t="s">
        <v>115</v>
      </c>
      <c r="H18" s="54"/>
    </row>
    <row r="19" ht="138" spans="1:8">
      <c r="A19" s="52" t="s">
        <v>147</v>
      </c>
      <c r="B19" s="52" t="s">
        <v>148</v>
      </c>
      <c r="C19" s="52" t="s">
        <v>149</v>
      </c>
      <c r="D19" s="52" t="s">
        <v>114</v>
      </c>
      <c r="E19" s="52"/>
      <c r="F19" s="52" t="s">
        <v>97</v>
      </c>
      <c r="G19" s="52" t="s">
        <v>115</v>
      </c>
      <c r="H19" s="52"/>
    </row>
    <row r="20" ht="124.2" spans="1:8">
      <c r="A20" s="54" t="s">
        <v>150</v>
      </c>
      <c r="B20" s="54" t="s">
        <v>151</v>
      </c>
      <c r="C20" s="54" t="s">
        <v>152</v>
      </c>
      <c r="D20" s="54" t="s">
        <v>153</v>
      </c>
      <c r="E20" s="54"/>
      <c r="F20" s="54" t="s">
        <v>97</v>
      </c>
      <c r="G20" s="54" t="s">
        <v>115</v>
      </c>
      <c r="H20" s="54"/>
    </row>
    <row r="21" ht="138" spans="1:8">
      <c r="A21" s="52" t="s">
        <v>154</v>
      </c>
      <c r="B21" s="52" t="s">
        <v>155</v>
      </c>
      <c r="C21" s="52" t="s">
        <v>156</v>
      </c>
      <c r="D21" s="52" t="s">
        <v>157</v>
      </c>
      <c r="E21" s="52" t="s">
        <v>158</v>
      </c>
      <c r="F21" s="52" t="s">
        <v>97</v>
      </c>
      <c r="G21" s="52" t="s">
        <v>115</v>
      </c>
      <c r="H21" s="52"/>
    </row>
    <row r="22" ht="138" spans="1:8">
      <c r="A22" s="54" t="s">
        <v>159</v>
      </c>
      <c r="B22" s="54" t="s">
        <v>160</v>
      </c>
      <c r="C22" s="54" t="s">
        <v>161</v>
      </c>
      <c r="D22" s="54" t="s">
        <v>162</v>
      </c>
      <c r="E22" s="54" t="s">
        <v>158</v>
      </c>
      <c r="F22" s="54" t="s">
        <v>97</v>
      </c>
      <c r="G22" s="54" t="s">
        <v>115</v>
      </c>
      <c r="H22" s="54"/>
    </row>
    <row r="23" ht="138" spans="1:8">
      <c r="A23" s="52" t="s">
        <v>163</v>
      </c>
      <c r="B23" s="52" t="s">
        <v>164</v>
      </c>
      <c r="C23" s="52" t="s">
        <v>165</v>
      </c>
      <c r="D23" s="52" t="s">
        <v>157</v>
      </c>
      <c r="E23" s="52" t="s">
        <v>158</v>
      </c>
      <c r="F23" s="52" t="s">
        <v>97</v>
      </c>
      <c r="G23" s="52" t="s">
        <v>115</v>
      </c>
      <c r="H23" s="52"/>
    </row>
    <row r="24" ht="138" spans="1:8">
      <c r="A24" s="54" t="s">
        <v>166</v>
      </c>
      <c r="B24" s="54" t="s">
        <v>167</v>
      </c>
      <c r="C24" s="54" t="s">
        <v>168</v>
      </c>
      <c r="D24" s="54" t="s">
        <v>157</v>
      </c>
      <c r="E24" s="54" t="s">
        <v>158</v>
      </c>
      <c r="F24" s="54" t="s">
        <v>97</v>
      </c>
      <c r="G24" s="54" t="s">
        <v>115</v>
      </c>
      <c r="H24" s="54"/>
    </row>
    <row r="25" ht="138" spans="1:8">
      <c r="A25" s="52" t="s">
        <v>169</v>
      </c>
      <c r="B25" s="52" t="s">
        <v>170</v>
      </c>
      <c r="C25" s="52" t="s">
        <v>171</v>
      </c>
      <c r="D25" s="52" t="s">
        <v>157</v>
      </c>
      <c r="E25" s="52" t="s">
        <v>158</v>
      </c>
      <c r="F25" s="52" t="s">
        <v>97</v>
      </c>
      <c r="G25" s="52" t="s">
        <v>115</v>
      </c>
      <c r="H25" s="52"/>
    </row>
    <row r="26" ht="138" spans="1:8">
      <c r="A26" s="54" t="s">
        <v>172</v>
      </c>
      <c r="B26" s="54" t="s">
        <v>173</v>
      </c>
      <c r="C26" s="54" t="s">
        <v>174</v>
      </c>
      <c r="D26" s="54" t="s">
        <v>157</v>
      </c>
      <c r="E26" s="54" t="s">
        <v>158</v>
      </c>
      <c r="F26" s="54" t="s">
        <v>97</v>
      </c>
      <c r="G26" s="54" t="s">
        <v>115</v>
      </c>
      <c r="H26" s="54"/>
    </row>
    <row r="27" ht="110.4" spans="1:8">
      <c r="A27" s="52" t="s">
        <v>175</v>
      </c>
      <c r="B27" s="52" t="s">
        <v>176</v>
      </c>
      <c r="C27" s="52" t="s">
        <v>177</v>
      </c>
      <c r="D27" s="52" t="s">
        <v>178</v>
      </c>
      <c r="E27" s="52" t="s">
        <v>158</v>
      </c>
      <c r="F27" s="52" t="s">
        <v>97</v>
      </c>
      <c r="G27" s="52" t="s">
        <v>115</v>
      </c>
      <c r="H27" s="52"/>
    </row>
    <row r="28" ht="124.2" spans="1:8">
      <c r="A28" s="54" t="s">
        <v>179</v>
      </c>
      <c r="B28" s="54" t="s">
        <v>180</v>
      </c>
      <c r="C28" s="54" t="s">
        <v>181</v>
      </c>
      <c r="D28" s="54" t="s">
        <v>182</v>
      </c>
      <c r="E28" s="54" t="s">
        <v>158</v>
      </c>
      <c r="F28" s="54" t="s">
        <v>97</v>
      </c>
      <c r="G28" s="54" t="s">
        <v>115</v>
      </c>
      <c r="H28" s="54"/>
    </row>
  </sheetData>
  <mergeCells count="5">
    <mergeCell ref="B1:H1"/>
    <mergeCell ref="B2:H2"/>
    <mergeCell ref="B3:H3"/>
    <mergeCell ref="F4:H4"/>
    <mergeCell ref="F5:H5"/>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2"/>
  <sheetViews>
    <sheetView zoomScale="96" zoomScaleNormal="96" workbookViewId="0">
      <selection activeCell="A8" sqref="A8:H8"/>
    </sheetView>
  </sheetViews>
  <sheetFormatPr defaultColWidth="8.89814814814815" defaultRowHeight="14.4" outlineLevelCol="7"/>
  <cols>
    <col min="1" max="1" width="24.4166666666667" style="3" customWidth="1"/>
    <col min="2" max="2" width="30.1111111111111" style="3" customWidth="1"/>
    <col min="3" max="3" width="43.4444444444444" style="3" customWidth="1"/>
    <col min="4" max="4" width="26" style="3" customWidth="1"/>
    <col min="5" max="5" width="30.2407407407407" style="3" customWidth="1"/>
    <col min="6" max="6" width="14.4444444444444" style="3" customWidth="1"/>
    <col min="7" max="7" width="11" style="3" customWidth="1"/>
    <col min="8" max="8" width="26" style="3" customWidth="1"/>
    <col min="9" max="16384" width="8.89814814814815" style="1"/>
  </cols>
  <sheetData>
    <row r="1" s="1" customFormat="1" ht="87.75" customHeight="1" spans="1:8">
      <c r="A1" s="4" t="s">
        <v>92</v>
      </c>
      <c r="B1" s="5" t="s">
        <v>183</v>
      </c>
      <c r="C1" s="6"/>
      <c r="D1" s="6"/>
      <c r="E1" s="6"/>
      <c r="F1" s="6"/>
      <c r="G1" s="6"/>
      <c r="H1" s="7"/>
    </row>
    <row r="2" s="1" customFormat="1" ht="39" customHeight="1" spans="1:8">
      <c r="A2" s="4" t="s">
        <v>94</v>
      </c>
      <c r="B2" s="8" t="s">
        <v>45</v>
      </c>
      <c r="C2" s="9"/>
      <c r="D2" s="9"/>
      <c r="E2" s="9"/>
      <c r="F2" s="9"/>
      <c r="G2" s="9"/>
      <c r="H2" s="10"/>
    </row>
    <row r="3" s="1" customFormat="1" ht="14.25" customHeight="1" spans="1:8">
      <c r="A3" s="4" t="s">
        <v>95</v>
      </c>
      <c r="B3" s="11" t="s">
        <v>96</v>
      </c>
      <c r="C3" s="12"/>
      <c r="D3" s="12"/>
      <c r="E3" s="12"/>
      <c r="F3" s="12"/>
      <c r="G3" s="12"/>
      <c r="H3" s="13"/>
    </row>
    <row r="4" s="1" customFormat="1" ht="26.25" customHeight="1" spans="1:8">
      <c r="A4" s="14" t="s">
        <v>97</v>
      </c>
      <c r="B4" s="15" t="s">
        <v>98</v>
      </c>
      <c r="C4" s="16" t="s">
        <v>99</v>
      </c>
      <c r="D4" s="16" t="s">
        <v>100</v>
      </c>
      <c r="E4" s="16" t="s">
        <v>101</v>
      </c>
      <c r="F4" s="17" t="s">
        <v>102</v>
      </c>
      <c r="G4" s="17"/>
      <c r="H4" s="18"/>
    </row>
    <row r="5" s="1" customFormat="1" ht="15.75" customHeight="1" spans="1:8">
      <c r="A5" s="19">
        <f>COUNTIF(F9:F996,"Passed")</f>
        <v>0</v>
      </c>
      <c r="B5" s="20">
        <f>COUNTIF(F9:F996,"Failed")</f>
        <v>0</v>
      </c>
      <c r="C5" s="20">
        <f>F5-E5-D5-B5-A5</f>
        <v>24</v>
      </c>
      <c r="D5" s="20">
        <f>COUNTIF(F$9:F$996,"Blocked")</f>
        <v>0</v>
      </c>
      <c r="E5" s="21">
        <f>COUNTIF(F$9:F$996,"Skipped")</f>
        <v>0</v>
      </c>
      <c r="F5" s="22">
        <f>COUNTA(A9:A996)</f>
        <v>24</v>
      </c>
      <c r="G5" s="22"/>
      <c r="H5" s="22"/>
    </row>
    <row r="6" s="1" customFormat="1" ht="15" customHeight="1" spans="1:8">
      <c r="A6" s="23"/>
      <c r="B6" s="24"/>
      <c r="C6" s="25"/>
      <c r="D6" s="24"/>
      <c r="E6" s="24"/>
      <c r="F6" s="24"/>
      <c r="G6" s="24"/>
      <c r="H6" s="26"/>
    </row>
    <row r="8" s="2" customFormat="1" ht="21.75" customHeight="1" spans="1:8">
      <c r="A8" s="27" t="s">
        <v>104</v>
      </c>
      <c r="B8" s="27" t="s">
        <v>105</v>
      </c>
      <c r="C8" s="27" t="s">
        <v>106</v>
      </c>
      <c r="D8" s="27" t="s">
        <v>107</v>
      </c>
      <c r="E8" s="28" t="s">
        <v>108</v>
      </c>
      <c r="F8" s="29" t="s">
        <v>109</v>
      </c>
      <c r="G8" s="30" t="s">
        <v>110</v>
      </c>
      <c r="H8" s="31" t="s">
        <v>5</v>
      </c>
    </row>
    <row r="9" s="1" customFormat="1" ht="129" customHeight="1" spans="1:8">
      <c r="A9" s="32" t="s">
        <v>184</v>
      </c>
      <c r="B9" s="33" t="s">
        <v>185</v>
      </c>
      <c r="C9" s="34" t="s">
        <v>186</v>
      </c>
      <c r="D9" s="34" t="s">
        <v>187</v>
      </c>
      <c r="E9" s="33"/>
      <c r="F9" s="33" t="s">
        <v>99</v>
      </c>
      <c r="G9" s="33"/>
      <c r="H9" s="33"/>
    </row>
    <row r="10" s="1" customFormat="1" ht="409.5" customHeight="1" spans="1:8">
      <c r="A10" s="35" t="s">
        <v>188</v>
      </c>
      <c r="B10" s="35" t="s">
        <v>189</v>
      </c>
      <c r="C10" s="35" t="s">
        <v>190</v>
      </c>
      <c r="D10" s="35" t="s">
        <v>191</v>
      </c>
      <c r="E10" s="35"/>
      <c r="F10" s="35" t="s">
        <v>99</v>
      </c>
      <c r="G10" s="35"/>
      <c r="H10" s="35"/>
    </row>
    <row r="11" s="1" customFormat="1" ht="115.5" customHeight="1" spans="1:8">
      <c r="A11" s="32" t="s">
        <v>192</v>
      </c>
      <c r="B11" s="33" t="s">
        <v>193</v>
      </c>
      <c r="C11" s="34" t="s">
        <v>194</v>
      </c>
      <c r="D11" s="34" t="s">
        <v>195</v>
      </c>
      <c r="E11" s="33"/>
      <c r="F11" s="33" t="s">
        <v>99</v>
      </c>
      <c r="G11" s="33"/>
      <c r="H11" s="33"/>
    </row>
    <row r="12" s="1" customFormat="1" ht="115.5" customHeight="1" spans="1:8">
      <c r="A12" s="35" t="s">
        <v>196</v>
      </c>
      <c r="B12" s="35" t="s">
        <v>197</v>
      </c>
      <c r="C12" s="35" t="s">
        <v>198</v>
      </c>
      <c r="D12" s="35" t="s">
        <v>199</v>
      </c>
      <c r="E12" s="35"/>
      <c r="F12" s="35" t="s">
        <v>99</v>
      </c>
      <c r="G12" s="35"/>
      <c r="H12" s="35"/>
    </row>
    <row r="13" s="1" customFormat="1" ht="115.5" customHeight="1" spans="1:8">
      <c r="A13" s="32" t="s">
        <v>200</v>
      </c>
      <c r="B13" s="33" t="s">
        <v>201</v>
      </c>
      <c r="C13" s="34" t="s">
        <v>202</v>
      </c>
      <c r="D13" s="34" t="s">
        <v>203</v>
      </c>
      <c r="E13" s="33"/>
      <c r="F13" s="33" t="s">
        <v>99</v>
      </c>
      <c r="G13" s="33"/>
      <c r="H13" s="33"/>
    </row>
    <row r="14" s="1" customFormat="1" ht="129" customHeight="1" spans="1:8">
      <c r="A14" s="35" t="s">
        <v>204</v>
      </c>
      <c r="B14" s="35" t="s">
        <v>205</v>
      </c>
      <c r="C14" s="35" t="s">
        <v>206</v>
      </c>
      <c r="D14" s="35" t="s">
        <v>207</v>
      </c>
      <c r="E14" s="35"/>
      <c r="F14" s="35" t="s">
        <v>99</v>
      </c>
      <c r="G14" s="35"/>
      <c r="H14" s="35"/>
    </row>
    <row r="15" s="1" customFormat="1" ht="115.5" customHeight="1" spans="1:8">
      <c r="A15" s="32" t="s">
        <v>208</v>
      </c>
      <c r="B15" s="33" t="s">
        <v>209</v>
      </c>
      <c r="C15" s="34" t="s">
        <v>210</v>
      </c>
      <c r="D15" s="34" t="s">
        <v>211</v>
      </c>
      <c r="E15" s="33"/>
      <c r="F15" s="33" t="s">
        <v>99</v>
      </c>
      <c r="G15" s="33"/>
      <c r="H15" s="33"/>
    </row>
    <row r="16" s="1" customFormat="1" ht="169.5" customHeight="1" spans="1:8">
      <c r="A16" s="35" t="s">
        <v>212</v>
      </c>
      <c r="B16" s="35" t="s">
        <v>213</v>
      </c>
      <c r="C16" s="35" t="s">
        <v>214</v>
      </c>
      <c r="D16" s="35" t="s">
        <v>215</v>
      </c>
      <c r="E16" s="35"/>
      <c r="F16" s="35" t="s">
        <v>99</v>
      </c>
      <c r="G16" s="35"/>
      <c r="H16" s="35" t="s">
        <v>216</v>
      </c>
    </row>
    <row r="17" s="1" customFormat="1" ht="169.5" customHeight="1" spans="1:8">
      <c r="A17" s="32" t="s">
        <v>217</v>
      </c>
      <c r="B17" s="33" t="s">
        <v>218</v>
      </c>
      <c r="C17" s="34" t="s">
        <v>219</v>
      </c>
      <c r="D17" s="34" t="s">
        <v>220</v>
      </c>
      <c r="E17" s="33"/>
      <c r="F17" s="33" t="s">
        <v>99</v>
      </c>
      <c r="G17" s="33"/>
      <c r="H17" s="33" t="s">
        <v>221</v>
      </c>
    </row>
    <row r="18" s="1" customFormat="1" ht="115.5" customHeight="1" spans="1:8">
      <c r="A18" s="35" t="s">
        <v>222</v>
      </c>
      <c r="B18" s="35" t="s">
        <v>223</v>
      </c>
      <c r="C18" s="35" t="s">
        <v>224</v>
      </c>
      <c r="D18" s="35" t="s">
        <v>225</v>
      </c>
      <c r="E18" s="35"/>
      <c r="F18" s="35" t="s">
        <v>99</v>
      </c>
      <c r="G18" s="35"/>
      <c r="H18" s="35"/>
    </row>
    <row r="19" s="1" customFormat="1" ht="115.5" customHeight="1" spans="1:8">
      <c r="A19" s="32" t="s">
        <v>226</v>
      </c>
      <c r="B19" s="33" t="s">
        <v>227</v>
      </c>
      <c r="C19" s="34" t="s">
        <v>228</v>
      </c>
      <c r="D19" s="34" t="s">
        <v>229</v>
      </c>
      <c r="E19" s="33"/>
      <c r="F19" s="33" t="s">
        <v>99</v>
      </c>
      <c r="G19" s="33"/>
      <c r="H19" s="33" t="s">
        <v>230</v>
      </c>
    </row>
    <row r="20" s="1" customFormat="1" ht="115.5" customHeight="1" spans="1:8">
      <c r="A20" s="35" t="s">
        <v>231</v>
      </c>
      <c r="B20" s="35" t="s">
        <v>232</v>
      </c>
      <c r="C20" s="35" t="s">
        <v>233</v>
      </c>
      <c r="D20" s="35" t="s">
        <v>234</v>
      </c>
      <c r="E20" s="35"/>
      <c r="F20" s="35" t="s">
        <v>99</v>
      </c>
      <c r="G20" s="35"/>
      <c r="H20" s="35"/>
    </row>
    <row r="21" s="1" customFormat="1" ht="115.5" customHeight="1" spans="1:8">
      <c r="A21" s="32" t="s">
        <v>235</v>
      </c>
      <c r="B21" s="33" t="s">
        <v>236</v>
      </c>
      <c r="C21" s="34" t="s">
        <v>237</v>
      </c>
      <c r="D21" s="34" t="s">
        <v>238</v>
      </c>
      <c r="E21" s="33"/>
      <c r="F21" s="33" t="s">
        <v>99</v>
      </c>
      <c r="G21" s="33"/>
      <c r="H21" s="33"/>
    </row>
    <row r="22" s="1" customFormat="1" ht="115.5" customHeight="1" spans="1:8">
      <c r="A22" s="35" t="s">
        <v>239</v>
      </c>
      <c r="B22" s="35" t="s">
        <v>240</v>
      </c>
      <c r="C22" s="35" t="s">
        <v>241</v>
      </c>
      <c r="D22" s="35" t="s">
        <v>242</v>
      </c>
      <c r="E22" s="35"/>
      <c r="F22" s="35" t="s">
        <v>99</v>
      </c>
      <c r="G22" s="35"/>
      <c r="H22" s="35"/>
    </row>
    <row r="23" s="1" customFormat="1" ht="115.5" customHeight="1" spans="1:8">
      <c r="A23" s="32" t="s">
        <v>243</v>
      </c>
      <c r="B23" s="33" t="s">
        <v>244</v>
      </c>
      <c r="C23" s="34" t="s">
        <v>245</v>
      </c>
      <c r="D23" s="34" t="s">
        <v>246</v>
      </c>
      <c r="E23" s="33"/>
      <c r="F23" s="33" t="s">
        <v>99</v>
      </c>
      <c r="G23" s="33"/>
      <c r="H23" s="33"/>
    </row>
    <row r="24" s="1" customFormat="1" ht="115.5" customHeight="1" spans="1:8">
      <c r="A24" s="35" t="s">
        <v>247</v>
      </c>
      <c r="B24" s="35" t="s">
        <v>248</v>
      </c>
      <c r="C24" s="35" t="s">
        <v>249</v>
      </c>
      <c r="D24" s="35" t="s">
        <v>250</v>
      </c>
      <c r="E24" s="35"/>
      <c r="F24" s="35" t="s">
        <v>99</v>
      </c>
      <c r="G24" s="35"/>
      <c r="H24" s="35"/>
    </row>
    <row r="25" s="1" customFormat="1" ht="115.5" customHeight="1" spans="1:8">
      <c r="A25" s="32" t="s">
        <v>251</v>
      </c>
      <c r="B25" s="33" t="s">
        <v>252</v>
      </c>
      <c r="C25" s="34" t="s">
        <v>253</v>
      </c>
      <c r="D25" s="34" t="s">
        <v>254</v>
      </c>
      <c r="E25" s="33"/>
      <c r="F25" s="33" t="s">
        <v>99</v>
      </c>
      <c r="G25" s="33"/>
      <c r="H25" s="33" t="s">
        <v>255</v>
      </c>
    </row>
    <row r="26" s="1" customFormat="1" ht="129" customHeight="1" spans="1:8">
      <c r="A26" s="35" t="s">
        <v>256</v>
      </c>
      <c r="B26" s="35" t="s">
        <v>257</v>
      </c>
      <c r="C26" s="35" t="s">
        <v>258</v>
      </c>
      <c r="D26" s="35" t="s">
        <v>259</v>
      </c>
      <c r="E26" s="35"/>
      <c r="F26" s="35" t="s">
        <v>99</v>
      </c>
      <c r="G26" s="35"/>
      <c r="H26" s="35"/>
    </row>
    <row r="27" s="1" customFormat="1" ht="129" customHeight="1" spans="1:8">
      <c r="A27" s="32" t="s">
        <v>260</v>
      </c>
      <c r="B27" s="33" t="s">
        <v>261</v>
      </c>
      <c r="C27" s="34" t="s">
        <v>262</v>
      </c>
      <c r="D27" s="34" t="s">
        <v>263</v>
      </c>
      <c r="E27" s="33"/>
      <c r="F27" s="33" t="s">
        <v>99</v>
      </c>
      <c r="G27" s="33"/>
      <c r="H27" s="33"/>
    </row>
    <row r="28" s="1" customFormat="1" ht="129" customHeight="1" spans="1:8">
      <c r="A28" s="35" t="s">
        <v>264</v>
      </c>
      <c r="B28" s="35" t="s">
        <v>265</v>
      </c>
      <c r="C28" s="35" t="s">
        <v>266</v>
      </c>
      <c r="D28" s="35" t="s">
        <v>267</v>
      </c>
      <c r="E28" s="35"/>
      <c r="F28" s="35" t="s">
        <v>99</v>
      </c>
      <c r="G28" s="35"/>
      <c r="H28" s="35"/>
    </row>
    <row r="29" s="1" customFormat="1" ht="156" customHeight="1" spans="1:8">
      <c r="A29" s="32" t="s">
        <v>268</v>
      </c>
      <c r="B29" s="33" t="s">
        <v>269</v>
      </c>
      <c r="C29" s="34" t="s">
        <v>270</v>
      </c>
      <c r="D29" s="34" t="s">
        <v>271</v>
      </c>
      <c r="E29" s="33"/>
      <c r="F29" s="33" t="s">
        <v>99</v>
      </c>
      <c r="G29" s="33"/>
      <c r="H29" s="33"/>
    </row>
    <row r="30" s="1" customFormat="1" ht="142.5" customHeight="1" spans="1:8">
      <c r="A30" s="35" t="s">
        <v>272</v>
      </c>
      <c r="B30" s="35" t="s">
        <v>273</v>
      </c>
      <c r="C30" s="35" t="s">
        <v>274</v>
      </c>
      <c r="D30" s="35" t="s">
        <v>220</v>
      </c>
      <c r="E30" s="35"/>
      <c r="F30" s="35" t="s">
        <v>99</v>
      </c>
      <c r="G30" s="35"/>
      <c r="H30" s="35"/>
    </row>
    <row r="31" s="1" customFormat="1" ht="115.5" customHeight="1" spans="1:8">
      <c r="A31" s="32" t="s">
        <v>275</v>
      </c>
      <c r="B31" s="33" t="s">
        <v>276</v>
      </c>
      <c r="C31" s="34" t="s">
        <v>198</v>
      </c>
      <c r="D31" s="34" t="s">
        <v>277</v>
      </c>
      <c r="E31" s="33"/>
      <c r="F31" s="33" t="s">
        <v>99</v>
      </c>
      <c r="G31" s="33"/>
      <c r="H31" s="33"/>
    </row>
    <row r="32" s="1" customFormat="1" ht="129" customHeight="1" spans="1:8">
      <c r="A32" s="35" t="s">
        <v>278</v>
      </c>
      <c r="B32" s="35" t="s">
        <v>279</v>
      </c>
      <c r="C32" s="35" t="s">
        <v>280</v>
      </c>
      <c r="D32" s="35" t="s">
        <v>281</v>
      </c>
      <c r="E32" s="35"/>
      <c r="F32" s="35" t="s">
        <v>99</v>
      </c>
      <c r="G32" s="35"/>
      <c r="H32" s="35"/>
    </row>
    <row r="33" s="1" customFormat="1"/>
    <row r="34" s="1" customFormat="1"/>
    <row r="35" s="1" customFormat="1"/>
    <row r="36" s="1" customFormat="1"/>
    <row r="37" s="1" customFormat="1"/>
    <row r="38" s="1" customFormat="1"/>
    <row r="39" s="1" customFormat="1"/>
    <row r="40" s="1" customFormat="1"/>
    <row r="41" s="1" customFormat="1"/>
    <row r="42" s="1" customFormat="1"/>
  </sheetData>
  <mergeCells count="5">
    <mergeCell ref="B1:H1"/>
    <mergeCell ref="B2:H2"/>
    <mergeCell ref="B3:H3"/>
    <mergeCell ref="F4:H4"/>
    <mergeCell ref="F5:H5"/>
  </mergeCells>
  <dataValidations count="1">
    <dataValidation type="list" allowBlank="1" sqref="F9:F32">
      <formula1>"Passed,Failed,Untested,Blocked,Skipped"</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3</vt:i4>
      </vt:variant>
    </vt:vector>
  </HeadingPairs>
  <TitlesOfParts>
    <vt:vector size="3" baseType="lpstr">
      <vt:lpstr>TestDesign</vt:lpstr>
      <vt:lpstr>Add-DeliveryAddress</vt:lpstr>
      <vt:lpstr>Tìm kiếm nâng cao (lọc)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PC</cp:lastModifiedBy>
  <dcterms:created xsi:type="dcterms:W3CDTF">2026-10-23T08:46:00Z</dcterms:created>
  <dcterms:modified xsi:type="dcterms:W3CDTF">2026-10-30T11:28:07Z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ACB6BDF1CDD0498884E947761912EB35_13</vt:lpwstr>
  </property>
  <property fmtid="{D5CDD505-2E9C-101B-9397-08002B2CF9AE}" pid="3" name="KSOProductBuildVer">
    <vt:lpwstr>1033-12.1.0.29162</vt:lpwstr>
  </property>
  <property fmtid="{D5CDD505-2E9C-101B-9397-08002B2CF9AE}" pid="4" name="CalculationRule">
    <vt:i4>0</vt:i4>
  </property>
</Properties>
</file>